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xampp\htdocs\dmslcr004\01 Xmas eRegV65\Xmas eRegV65\eRegistration Transmission\bin\Debug\Template\"/>
    </mc:Choice>
  </mc:AlternateContent>
  <bookViews>
    <workbookView xWindow="0" yWindow="0" windowWidth="28800" windowHeight="11715"/>
  </bookViews>
  <sheets>
    <sheet name="Data Source" sheetId="7" r:id="rId1"/>
    <sheet name="Statistic Reports" sheetId="6" r:id="rId2"/>
    <sheet name="ByMunicipality" sheetId="11" r:id="rId3"/>
    <sheet name="TeenAge" sheetId="12" r:id="rId4"/>
  </sheets>
  <definedNames>
    <definedName name="DataSourceTable" localSheetId="2">#REF!</definedName>
    <definedName name="DataSourceTable" localSheetId="3">#REF!</definedName>
    <definedName name="DataSourceTable">#REF!</definedName>
    <definedName name="pangit" localSheetId="2">#REF!</definedName>
    <definedName name="pangit" localSheetId="1">#REF!</definedName>
    <definedName name="pangit" localSheetId="3">#REF!</definedName>
    <definedName name="_xlnm.Print_Area" localSheetId="2">ByMunicipality!$A$1:$J$66</definedName>
    <definedName name="_xlnm.Print_Area" localSheetId="1">'Statistic Reports'!$A$1:$G$134</definedName>
    <definedName name="_xlnm.Print_Area" localSheetId="3">TeenAge!$A$1:$I$2179</definedName>
    <definedName name="_xlnm.Print_Titles" localSheetId="2">ByMunicipality!$1:$9</definedName>
    <definedName name="_xlnm.Print_Titles" localSheetId="1">'Statistic Reports'!$1:$10</definedName>
    <definedName name="_xlnm.Print_Titles" localSheetId="3">TeenAge!$1:$9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2" i="6" l="1"/>
  <c r="E123" i="6"/>
  <c r="E124" i="6"/>
  <c r="E125" i="6"/>
  <c r="E126" i="6"/>
  <c r="E127" i="6"/>
  <c r="E128" i="6"/>
  <c r="E129" i="6"/>
  <c r="E130" i="6"/>
  <c r="E131" i="6"/>
  <c r="E133" i="6" l="1"/>
  <c r="D116" i="6" l="1"/>
  <c r="C116" i="6"/>
  <c r="D115" i="6"/>
  <c r="C115" i="6"/>
  <c r="D114" i="6"/>
  <c r="C114" i="6"/>
  <c r="D113" i="6"/>
  <c r="C113" i="6"/>
  <c r="D112" i="6"/>
  <c r="C112" i="6"/>
  <c r="D111" i="6"/>
  <c r="C111" i="6"/>
  <c r="D110" i="6"/>
  <c r="C110" i="6"/>
  <c r="D109" i="6"/>
  <c r="C109" i="6"/>
  <c r="E27" i="6"/>
  <c r="E110" i="6" l="1"/>
  <c r="E109" i="6"/>
  <c r="E111" i="6" l="1"/>
  <c r="E112" i="6" l="1"/>
  <c r="E113" i="6" l="1"/>
  <c r="E115" i="6" l="1"/>
  <c r="E114" i="6"/>
  <c r="E116" i="6" l="1"/>
  <c r="D82" i="6" l="1"/>
  <c r="D81" i="6"/>
  <c r="D80" i="6"/>
  <c r="D79" i="6"/>
  <c r="D78" i="6"/>
  <c r="D77" i="6"/>
  <c r="D76" i="6"/>
  <c r="D75" i="6"/>
  <c r="D74" i="6"/>
  <c r="C82" i="6"/>
  <c r="C81" i="6"/>
  <c r="C80" i="6"/>
  <c r="C79" i="6"/>
  <c r="C78" i="6"/>
  <c r="C77" i="6"/>
  <c r="C76" i="6"/>
  <c r="C75" i="6"/>
  <c r="C74" i="6"/>
  <c r="B9" i="6"/>
  <c r="C84" i="6" l="1"/>
  <c r="D84" i="6"/>
  <c r="E82" i="6"/>
  <c r="E81" i="6"/>
  <c r="E80" i="6"/>
  <c r="E79" i="6"/>
  <c r="E78" i="6"/>
  <c r="E77" i="6"/>
  <c r="E76" i="6"/>
  <c r="E75" i="6"/>
  <c r="E74" i="6"/>
  <c r="D26" i="6"/>
  <c r="C26" i="6"/>
  <c r="D25" i="6"/>
  <c r="C25" i="6"/>
  <c r="D24" i="6"/>
  <c r="C24" i="6"/>
  <c r="D23" i="6"/>
  <c r="C23" i="6"/>
  <c r="D22" i="6"/>
  <c r="C22" i="6"/>
  <c r="D21" i="6"/>
  <c r="C21" i="6"/>
  <c r="D20" i="6"/>
  <c r="C20" i="6"/>
  <c r="D19" i="6"/>
  <c r="C19" i="6"/>
  <c r="D18" i="6"/>
  <c r="C18" i="6"/>
  <c r="D17" i="6"/>
  <c r="C17" i="6"/>
  <c r="D16" i="6"/>
  <c r="C16" i="6"/>
  <c r="D15" i="6"/>
  <c r="C15" i="6"/>
  <c r="E15" i="6" l="1"/>
  <c r="E117" i="6"/>
  <c r="E118" i="6" l="1"/>
  <c r="E83" i="6" l="1"/>
  <c r="E84" i="6"/>
  <c r="E20" i="6" l="1"/>
  <c r="E21" i="6"/>
  <c r="E25" i="6"/>
  <c r="E16" i="6"/>
  <c r="E22" i="6"/>
  <c r="D28" i="6"/>
  <c r="E23" i="6"/>
  <c r="E24" i="6"/>
  <c r="E26" i="6"/>
  <c r="E19" i="6"/>
  <c r="C28" i="6"/>
  <c r="E18" i="6"/>
  <c r="E17" i="6"/>
  <c r="E28" i="6" l="1"/>
</calcChain>
</file>

<file path=xl/sharedStrings.xml><?xml version="1.0" encoding="utf-8"?>
<sst xmlns="http://schemas.openxmlformats.org/spreadsheetml/2006/main" count="143" uniqueCount="125">
  <si>
    <t>TOTAL</t>
  </si>
  <si>
    <t>Female</t>
  </si>
  <si>
    <t>Belo 15 Years Old</t>
  </si>
  <si>
    <t>15-19</t>
  </si>
  <si>
    <t>20-24</t>
  </si>
  <si>
    <t>25-29</t>
  </si>
  <si>
    <t>30-34</t>
  </si>
  <si>
    <t>35-39</t>
  </si>
  <si>
    <t>40-44</t>
  </si>
  <si>
    <t>45 and Up</t>
  </si>
  <si>
    <t>Total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</si>
  <si>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</si>
  <si>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</si>
  <si>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</si>
  <si>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</si>
  <si>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</si>
  <si>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</si>
  <si>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</si>
  <si>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</si>
  <si>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</si>
  <si>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</si>
  <si>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</si>
  <si>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</si>
  <si>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</t>
  </si>
  <si>
    <t xml:space="preserve"> </t>
  </si>
  <si>
    <t>Age - Not Stated</t>
  </si>
  <si>
    <t>PHYSICIAN</t>
  </si>
  <si>
    <t>ATTENDANT TYPE</t>
  </si>
  <si>
    <t>MALE</t>
  </si>
  <si>
    <t>RegistryNum</t>
  </si>
  <si>
    <t>DocumentStatus</t>
  </si>
  <si>
    <t>CFirstName</t>
  </si>
  <si>
    <t>CMiddleName</t>
  </si>
  <si>
    <t>CLastName</t>
  </si>
  <si>
    <t>CSexId</t>
  </si>
  <si>
    <t>CBirthDate</t>
  </si>
  <si>
    <t>CBirthAddress</t>
  </si>
  <si>
    <t>CBirthMunicipality</t>
  </si>
  <si>
    <t>CBirthMunicipalityId</t>
  </si>
  <si>
    <t>CBirthProvince</t>
  </si>
  <si>
    <t>CBirthProvinceId</t>
  </si>
  <si>
    <t>CBirthCountry</t>
  </si>
  <si>
    <t>CBirthCountryId</t>
  </si>
  <si>
    <t>CBirthTypeId</t>
  </si>
  <si>
    <t>MFirstName</t>
  </si>
  <si>
    <t>MMiddleName</t>
  </si>
  <si>
    <t>MLastName</t>
  </si>
  <si>
    <t>MCitizenship</t>
  </si>
  <si>
    <t>MCitizenshipId</t>
  </si>
  <si>
    <t>MOccupation</t>
  </si>
  <si>
    <t>MOccupationId</t>
  </si>
  <si>
    <t>MAge</t>
  </si>
  <si>
    <t>MAddress</t>
  </si>
  <si>
    <t>MMunicipality</t>
  </si>
  <si>
    <t>MMunicipalityId</t>
  </si>
  <si>
    <t>MProvince</t>
  </si>
  <si>
    <t>MProvinceId</t>
  </si>
  <si>
    <t>MCountry</t>
  </si>
  <si>
    <t>MCountryId</t>
  </si>
  <si>
    <t>FFirstName</t>
  </si>
  <si>
    <t>FMiddleName</t>
  </si>
  <si>
    <t>FLastName</t>
  </si>
  <si>
    <t>FCitizenship</t>
  </si>
  <si>
    <t>FCitizenshipId</t>
  </si>
  <si>
    <t>FOccupation</t>
  </si>
  <si>
    <t>FOccupationId</t>
  </si>
  <si>
    <t>FAge</t>
  </si>
  <si>
    <t>FAddress</t>
  </si>
  <si>
    <t>FMunicipality</t>
  </si>
  <si>
    <t>FMunicipalityId</t>
  </si>
  <si>
    <t>FProvince</t>
  </si>
  <si>
    <t>FProvinceId</t>
  </si>
  <si>
    <t>FCountry</t>
  </si>
  <si>
    <t>FCountryId</t>
  </si>
  <si>
    <t>AttendantId</t>
  </si>
  <si>
    <t>AttendantName</t>
  </si>
  <si>
    <t>AttendantTitle</t>
  </si>
  <si>
    <t>PreparerName</t>
  </si>
  <si>
    <t>PreparerTitle</t>
  </si>
  <si>
    <t>PreparerDate</t>
  </si>
  <si>
    <t>DateReceived</t>
  </si>
  <si>
    <t>DateRegistered</t>
  </si>
  <si>
    <t>Week Number</t>
  </si>
  <si>
    <t>Week Start Date</t>
  </si>
  <si>
    <t>Week End Date</t>
  </si>
  <si>
    <t>Year</t>
  </si>
  <si>
    <t>Day</t>
  </si>
  <si>
    <t>Ref. Month No.</t>
  </si>
  <si>
    <t>FEMALE</t>
  </si>
  <si>
    <t>MIDWIFE</t>
  </si>
  <si>
    <t>OTHERS</t>
  </si>
  <si>
    <t>HILOT</t>
  </si>
  <si>
    <t>NURSE</t>
  </si>
  <si>
    <t>AGE Category</t>
  </si>
  <si>
    <t>Mother Age Category with Child Gender</t>
  </si>
  <si>
    <t>Birth Registration By Month and By Gender</t>
  </si>
  <si>
    <t>DON’T DELETE</t>
  </si>
  <si>
    <t>HEADING 1</t>
  </si>
  <si>
    <t>HEADING 2</t>
  </si>
  <si>
    <t>OBGYNE</t>
  </si>
  <si>
    <t>OBSTETRICIAN/ GYNECOLOGIST</t>
  </si>
  <si>
    <t>NOT STATED</t>
  </si>
  <si>
    <t>Birth Registration By Attendant Type</t>
  </si>
  <si>
    <t>MOTHER MUNICIPALITY SUMMARY</t>
  </si>
  <si>
    <t>Municipality Name</t>
  </si>
  <si>
    <t>Province</t>
  </si>
  <si>
    <t>Country</t>
  </si>
  <si>
    <t>No.</t>
  </si>
  <si>
    <t>Name</t>
  </si>
  <si>
    <t>Address</t>
  </si>
  <si>
    <t>TEENAGE PREGNANCY REPORT</t>
  </si>
  <si>
    <t>MOTHER ADDRESS REPORT</t>
  </si>
  <si>
    <t>BY MUNICIPALITY SUMMARY</t>
  </si>
  <si>
    <t>Single</t>
  </si>
  <si>
    <t>Triplets</t>
  </si>
  <si>
    <t>Twin</t>
  </si>
  <si>
    <t>Quadruplet</t>
  </si>
  <si>
    <t>Quintuplet</t>
  </si>
  <si>
    <t>Sextuplet</t>
  </si>
  <si>
    <t>Septuplet</t>
  </si>
  <si>
    <t>Octuplet</t>
  </si>
  <si>
    <t>Nonuplet</t>
  </si>
  <si>
    <t>Decuplet</t>
  </si>
  <si>
    <t>BIRTH TYPE</t>
  </si>
  <si>
    <t>TOTAL CHILD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</si>
</sst>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_-* #,##0_-;\-* #,##0_-;_-* &quot;-&quot;??_-;_-@_-"/>
    <numFmt numFmtId="171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5"/>
      <color theme="0" tint="-0.1499984740745262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color rgb="FF000000"/>
      <name val="Tahoma"/>
      <family val="2"/>
    </font>
    <font>
      <sz val="8"/>
      <color indexed="23"/>
      <name val="Tahoma"/>
      <family val="2"/>
    </font>
    <font>
      <sz val="14"/>
      <color theme="1"/>
      <name val="Calibri"/>
      <family val="2"/>
      <scheme val="minor"/>
    </font>
    <font>
      <b/>
      <sz val="12"/>
      <color rgb="FF0A0A0A"/>
      <name val="Arial"/>
      <family val="2"/>
    </font>
    <font>
      <sz val="11"/>
      <color rgb="FF0A0A0A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0F0F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auto="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/>
    <xf numFmtId="164" fontId="1" fillId="0" borderId="0" applyFont="0" applyFill="0" applyBorder="0" applyAlignment="0" applyProtection="0"/>
  </cellStyleXfs>
  <cellXfs count="62">
    <xf numFmtId="0" fontId="0" fillId="0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horizontal="center" vertical="center" wrapText="1"/>
    </xf>
    <xf numFmtId="165" fontId="0" fillId="0" borderId="0" xfId="0" applyNumberFormat="1" applyFont="1" applyFill="1" applyBorder="1" applyAlignment="1" applyProtection="1">
      <alignment horizontal="center" vertical="center" wrapText="1"/>
    </xf>
    <xf numFmtId="165" fontId="0" fillId="0" borderId="0" xfId="0" applyNumberFormat="1" applyFont="1" applyFill="1" applyBorder="1" applyAlignment="1" applyProtection="1">
      <alignment horizontal="center" vertical="center" wrapText="1"/>
    </xf>
    <xf numFmtId="165" fontId="3" fillId="0" borderId="1" xfId="1" applyNumberFormat="1" applyFont="1" applyFill="1" applyBorder="1" applyAlignment="1" applyProtection="1">
      <alignment horizontal="left" vertical="center"/>
    </xf>
    <xf numFmtId="165" fontId="5" fillId="3" borderId="1" xfId="1" applyNumberFormat="1" applyFont="1" applyFill="1" applyBorder="1" applyAlignment="1" applyProtection="1">
      <alignment horizontal="left" vertical="center"/>
    </xf>
    <xf numFmtId="0" fontId="0" fillId="0" borderId="0" xfId="0" applyNumberFormat="1" applyFont="1" applyFill="1" applyBorder="1" applyAlignment="1" applyProtection="1">
      <alignment wrapText="1"/>
    </xf>
    <xf numFmtId="165" fontId="5" fillId="3" borderId="3" xfId="1" applyNumberFormat="1" applyFont="1" applyFill="1" applyBorder="1" applyAlignment="1" applyProtection="1">
      <alignment horizontal="left" vertical="center"/>
    </xf>
    <xf numFmtId="165" fontId="5" fillId="3" borderId="2" xfId="1" applyNumberFormat="1" applyFont="1" applyFill="1" applyBorder="1" applyAlignment="1" applyProtection="1">
      <alignment horizontal="left" vertical="center"/>
    </xf>
    <xf numFmtId="0" fontId="6" fillId="2" borderId="4" xfId="0" applyNumberFormat="1" applyFont="1" applyFill="1" applyBorder="1" applyAlignment="1" applyProtection="1"/>
    <xf numFmtId="0" fontId="0" fillId="2" borderId="5" xfId="0" applyNumberFormat="1" applyFont="1" applyFill="1" applyBorder="1" applyProtection="1"/>
    <xf numFmtId="0" fontId="0" fillId="0" borderId="6" xfId="0" applyNumberFormat="1" applyFont="1" applyFill="1" applyBorder="1" applyAlignment="1" applyProtection="1">
      <alignment horizontal="left" vertical="center" indent="2"/>
    </xf>
    <xf numFmtId="165" fontId="5" fillId="3" borderId="11" xfId="1" applyNumberFormat="1" applyFont="1" applyFill="1" applyBorder="1" applyAlignment="1" applyProtection="1">
      <alignment horizontal="left" vertical="center"/>
    </xf>
    <xf numFmtId="165" fontId="0" fillId="0" borderId="0" xfId="0" applyNumberFormat="1" applyFont="1" applyFill="1" applyBorder="1" applyProtection="1"/>
    <xf numFmtId="0" fontId="9" fillId="0" borderId="13" xfId="0" applyFont="1" applyBorder="1" applyAlignment="1">
      <alignment horizontal="left" vertical="top"/>
    </xf>
    <xf numFmtId="1" fontId="9" fillId="0" borderId="13" xfId="0" applyNumberFormat="1" applyFont="1" applyBorder="1" applyAlignment="1">
      <alignment horizontal="left" vertical="top"/>
    </xf>
    <xf numFmtId="0" fontId="8" fillId="6" borderId="14" xfId="0" applyFont="1" applyFill="1" applyBorder="1" applyAlignment="1">
      <alignment horizontal="left" vertical="center"/>
    </xf>
    <xf numFmtId="0" fontId="6" fillId="4" borderId="9" xfId="0" applyNumberFormat="1" applyFont="1" applyFill="1" applyBorder="1" applyAlignment="1" applyProtection="1">
      <alignment horizontal="center" vertical="center"/>
    </xf>
    <xf numFmtId="0" fontId="6" fillId="4" borderId="10" xfId="0" applyNumberFormat="1" applyFont="1" applyFill="1" applyBorder="1" applyAlignment="1" applyProtection="1">
      <alignment horizontal="center" vertical="center"/>
    </xf>
    <xf numFmtId="0" fontId="6" fillId="4" borderId="15" xfId="0" applyNumberFormat="1" applyFont="1" applyFill="1" applyBorder="1" applyAlignment="1" applyProtection="1">
      <alignment horizontal="center" vertical="center" wrapText="1"/>
    </xf>
    <xf numFmtId="165" fontId="4" fillId="0" borderId="16" xfId="1" applyNumberFormat="1" applyFont="1" applyFill="1" applyBorder="1" applyAlignment="1" applyProtection="1">
      <alignment horizontal="left" vertical="center"/>
    </xf>
    <xf numFmtId="165" fontId="5" fillId="3" borderId="16" xfId="1" applyNumberFormat="1" applyFont="1" applyFill="1" applyBorder="1" applyAlignment="1" applyProtection="1">
      <alignment horizontal="left" vertical="center"/>
    </xf>
    <xf numFmtId="0" fontId="6" fillId="4" borderId="9" xfId="0" applyNumberFormat="1" applyFont="1" applyFill="1" applyBorder="1" applyAlignment="1" applyProtection="1">
      <alignment horizontal="center" vertical="center"/>
    </xf>
    <xf numFmtId="0" fontId="6" fillId="4" borderId="10" xfId="0" applyNumberFormat="1" applyFont="1" applyFill="1" applyBorder="1" applyAlignment="1" applyProtection="1">
      <alignment horizontal="center" vertical="center"/>
    </xf>
    <xf numFmtId="0" fontId="6" fillId="5" borderId="7" xfId="0" applyNumberFormat="1" applyFont="1" applyFill="1" applyBorder="1" applyAlignment="1" applyProtection="1">
      <alignment horizontal="left" vertical="center" indent="2"/>
    </xf>
    <xf numFmtId="165" fontId="6" fillId="5" borderId="8" xfId="1" applyNumberFormat="1" applyFont="1" applyFill="1" applyBorder="1" applyAlignment="1" applyProtection="1">
      <alignment horizontal="left" vertical="center"/>
    </xf>
    <xf numFmtId="165" fontId="6" fillId="5" borderId="17" xfId="1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Protection="1"/>
    <xf numFmtId="0" fontId="6" fillId="2" borderId="4" xfId="0" applyNumberFormat="1" applyFont="1" applyFill="1" applyBorder="1" applyAlignment="1" applyProtection="1">
      <alignment horizontal="left" vertical="center" indent="1"/>
    </xf>
    <xf numFmtId="0" fontId="0" fillId="2" borderId="5" xfId="0" applyNumberFormat="1" applyFont="1" applyFill="1" applyBorder="1" applyAlignment="1" applyProtection="1">
      <alignment horizontal="left" vertical="center" indent="1"/>
    </xf>
    <xf numFmtId="0" fontId="0" fillId="2" borderId="18" xfId="0" applyNumberFormat="1" applyFont="1" applyFill="1" applyBorder="1" applyAlignment="1" applyProtection="1">
      <alignment horizontal="left" vertical="center" indent="1"/>
    </xf>
    <xf numFmtId="0" fontId="0" fillId="0" borderId="0" xfId="0" applyNumberFormat="1" applyFont="1" applyFill="1" applyBorder="1" applyAlignment="1" applyProtection="1">
      <alignment horizontal="left" vertical="center" indent="1"/>
    </xf>
    <xf numFmtId="165" fontId="3" fillId="0" borderId="16" xfId="1" applyNumberFormat="1" applyFont="1" applyFill="1" applyBorder="1" applyAlignment="1" applyProtection="1">
      <alignment horizontal="left" vertical="center"/>
    </xf>
    <xf numFmtId="0" fontId="2" fillId="5" borderId="19" xfId="0" applyNumberFormat="1" applyFont="1" applyFill="1" applyBorder="1" applyAlignment="1" applyProtection="1">
      <alignment horizontal="left" vertical="center" indent="2"/>
    </xf>
    <xf numFmtId="165" fontId="4" fillId="5" borderId="20" xfId="1" applyNumberFormat="1" applyFont="1" applyFill="1" applyBorder="1" applyAlignment="1" applyProtection="1">
      <alignment horizontal="left" vertical="center"/>
    </xf>
    <xf numFmtId="165" fontId="4" fillId="5" borderId="21" xfId="1" applyNumberFormat="1" applyFont="1" applyFill="1" applyBorder="1" applyAlignment="1" applyProtection="1">
      <alignment horizontal="left" vertical="center"/>
    </xf>
    <xf numFmtId="165" fontId="4" fillId="5" borderId="17" xfId="1" applyNumberFormat="1" applyFont="1" applyFill="1" applyBorder="1" applyAlignment="1" applyProtection="1">
      <alignment horizontal="left" vertical="center"/>
    </xf>
    <xf numFmtId="0" fontId="0" fillId="2" borderId="18" xfId="0" applyNumberFormat="1" applyFont="1" applyFill="1" applyBorder="1" applyProtection="1"/>
    <xf numFmtId="0" fontId="2" fillId="4" borderId="22" xfId="0" applyNumberFormat="1" applyFont="1" applyFill="1" applyBorder="1" applyAlignment="1" applyProtection="1">
      <alignment horizontal="center" vertical="center"/>
    </xf>
    <xf numFmtId="0" fontId="2" fillId="4" borderId="22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center" vertical="center" wrapText="1"/>
    </xf>
    <xf numFmtId="165" fontId="0" fillId="0" borderId="0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center"/>
    </xf>
    <xf numFmtId="0" fontId="2" fillId="0" borderId="0" xfId="0" applyNumberFormat="1" applyFont="1" applyFill="1" applyBorder="1" applyAlignment="1" applyProtection="1">
      <alignment horizontal="center"/>
    </xf>
    <xf numFmtId="0" fontId="0" fillId="0" borderId="12" xfId="0" applyNumberFormat="1" applyFont="1" applyFill="1" applyBorder="1" applyAlignment="1" applyProtection="1">
      <alignment horizont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6" fillId="2" borderId="4" xfId="0" applyNumberFormat="1" applyFont="1" applyFill="1" applyBorder="1" applyAlignment="1" applyProtection="1">
      <alignment horizontal="left" vertical="center" indent="1"/>
    </xf>
    <xf numFmtId="0" fontId="6" fillId="2" borderId="5" xfId="0" applyNumberFormat="1" applyFont="1" applyFill="1" applyBorder="1" applyAlignment="1" applyProtection="1">
      <alignment horizontal="left" vertical="center" indent="1"/>
    </xf>
    <xf numFmtId="0" fontId="6" fillId="2" borderId="18" xfId="0" applyNumberFormat="1" applyFont="1" applyFill="1" applyBorder="1" applyAlignment="1" applyProtection="1">
      <alignment horizontal="left" vertical="center" indent="1"/>
    </xf>
    <xf numFmtId="0" fontId="2" fillId="4" borderId="4" xfId="0" applyNumberFormat="1" applyFont="1" applyFill="1" applyBorder="1" applyAlignment="1" applyProtection="1">
      <alignment horizontal="center" vertical="center"/>
    </xf>
    <xf numFmtId="0" fontId="2" fillId="4" borderId="5" xfId="0" applyNumberFormat="1" applyFont="1" applyFill="1" applyBorder="1" applyAlignment="1" applyProtection="1">
      <alignment horizontal="center" vertical="center"/>
    </xf>
    <xf numFmtId="0" fontId="2" fillId="4" borderId="18" xfId="0" applyNumberFormat="1" applyFont="1" applyFill="1" applyBorder="1" applyAlignment="1" applyProtection="1">
      <alignment horizontal="center" vertical="center"/>
    </xf>
    <xf numFmtId="0" fontId="12" fillId="0" borderId="25" xfId="0" applyNumberFormat="1" applyFont="1" applyFill="1" applyBorder="1" applyProtection="1"/>
    <xf numFmtId="171" fontId="1" fillId="0" borderId="26" xfId="1" applyNumberFormat="1" applyFont="1" applyBorder="1"/>
    <xf numFmtId="0" fontId="0" fillId="0" borderId="25" xfId="0" applyNumberFormat="1" applyFont="1" applyFill="1" applyBorder="1" applyProtection="1"/>
    <xf numFmtId="171" fontId="1" fillId="0" borderId="26" xfId="1" applyNumberFormat="1" applyBorder="1"/>
    <xf numFmtId="0" fontId="4" fillId="0" borderId="23" xfId="0" applyNumberFormat="1" applyFont="1" applyFill="1" applyBorder="1" applyAlignment="1" applyProtection="1">
      <alignment horizontal="center" vertical="center"/>
    </xf>
    <xf numFmtId="0" fontId="4" fillId="0" borderId="24" xfId="0" applyNumberFormat="1" applyFont="1" applyFill="1" applyBorder="1" applyAlignment="1" applyProtection="1">
      <alignment horizontal="center" vertical="center"/>
    </xf>
    <xf numFmtId="0" fontId="4" fillId="0" borderId="27" xfId="0" applyNumberFormat="1" applyFont="1" applyFill="1" applyBorder="1" applyAlignment="1" applyProtection="1">
      <alignment horizontal="center" vertical="center"/>
    </xf>
    <xf numFmtId="0" fontId="4" fillId="0" borderId="28" xfId="0" applyNumberFormat="1" applyFont="1" applyFill="1" applyBorder="1" applyAlignment="1" applyProtection="1">
      <alignment horizontal="center" vertical="center"/>
    </xf>
    <xf numFmtId="0" fontId="11" fillId="5" borderId="4" xfId="0" applyNumberFormat="1" applyFont="1" applyFill="1" applyBorder="1" applyProtection="1"/>
    <xf numFmtId="171" fontId="4" fillId="5" borderId="18" xfId="1" applyNumberFormat="1" applyFont="1" applyFill="1" applyBorder="1"/>
  </cellXfs>
  <cellStyles count="3">
    <cellStyle name="Comma" xfId="1" builtinId="3"/>
    <cellStyle name="Comma 2" xfId="2"/>
    <cellStyle name="Normal" xfId="0" builtinId="0"/>
  </cellStyles>
  <dxfs count="6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numFmt numFmtId="1" formatCode="0"/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border outline="0">
        <top style="thin">
          <color indexed="22"/>
        </top>
        <bottom style="thin">
          <color rgb="FFC0C0C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fill>
        <patternFill patternType="solid">
          <fgColor indexed="64"/>
          <bgColor rgb="FFF0F0F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 sz="1800"/>
              <a:t>Birth Registration By Month</a:t>
            </a:r>
            <a:r>
              <a:rPr lang="en-PH" sz="1800" baseline="0"/>
              <a:t> and</a:t>
            </a:r>
            <a:r>
              <a:rPr lang="en-PH" sz="1800"/>
              <a:t> By</a:t>
            </a:r>
            <a:r>
              <a:rPr lang="en-PH" sz="1800" baseline="0"/>
              <a:t> </a:t>
            </a:r>
            <a:r>
              <a:rPr lang="en-PH" sz="1800"/>
              <a:t>Gender </a:t>
            </a:r>
          </a:p>
        </c:rich>
      </c:tx>
      <c:layout>
        <c:manualLayout>
          <c:xMode val="edge"/>
          <c:yMode val="edge"/>
          <c:x val="4.868905440569668E-2"/>
          <c:y val="1.51143800932153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3414535779267377E-2"/>
          <c:y val="0.10870023680923213"/>
          <c:w val="0.94193603389691516"/>
          <c:h val="0.740408266246525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'Statistic Reports'!$C$14</c:f>
              <c:strCache>
                <c:ptCount val="1"/>
                <c:pt idx="0">
                  <c:v>MALE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'Statistic Reports'!$B$15:$B$26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'Statistic Reports'!$C$15:$C$26</c:f>
              <c:numCache>
                <c:formatCode>_-* #,##0_-;\-* #,##0_-;_-* "-"??_-;_-@_-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'Statistic Reports'!$D$14</c:f>
              <c:strCache>
                <c:ptCount val="1"/>
                <c:pt idx="0">
                  <c:v>Female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'Statistic Reports'!$B$15:$B$26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'Statistic Reports'!$D$15:$D$26</c:f>
              <c:numCache>
                <c:formatCode>_-* #,##0_-;\-* #,##0_-;_-* "-"??_-;_-@_-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48990584"/>
        <c:axId val="448989408"/>
      </c:barChart>
      <c:catAx>
        <c:axId val="448990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989408"/>
        <c:crosses val="autoZero"/>
        <c:auto val="1"/>
        <c:lblAlgn val="ctr"/>
        <c:lblOffset val="100"/>
        <c:noMultiLvlLbl val="0"/>
      </c:catAx>
      <c:valAx>
        <c:axId val="44898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990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5400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 b="1"/>
              <a:t>MONTHLY</a:t>
            </a:r>
            <a:r>
              <a:rPr lang="en-PH" b="1" baseline="0"/>
              <a:t> </a:t>
            </a:r>
            <a:r>
              <a:rPr lang="en-PH" b="1"/>
              <a:t>BIRTH REGISTERED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801713059062861"/>
          <c:y val="0.14232378826692368"/>
          <c:w val="0.80081594493144148"/>
          <c:h val="0.76013738915223739"/>
        </c:manualLayout>
      </c:layout>
      <c:barChart>
        <c:barDir val="bar"/>
        <c:grouping val="clustered"/>
        <c:varyColors val="0"/>
        <c:ser>
          <c:idx val="2"/>
          <c:order val="0"/>
          <c:tx>
            <c:strRef>
              <c:f>'Statistic Reports'!$E$14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2700" cap="flat" cmpd="sng" algn="ctr">
              <a:solidFill>
                <a:schemeClr val="tx1">
                  <a:lumMod val="95000"/>
                  <a:lumOff val="5000"/>
                </a:schemeClr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'Statistic Reports'!$B$15:$B$26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'Statistic Reports'!$E$15:$E$26</c:f>
              <c:numCache>
                <c:formatCode>_-* #,##0_-;\-* #,##0_-;_-* "-"??_-;_-@_-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8"/>
        <c:overlap val="-14"/>
        <c:axId val="448988624"/>
        <c:axId val="452572464"/>
      </c:barChart>
      <c:catAx>
        <c:axId val="4489886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572464"/>
        <c:crosses val="autoZero"/>
        <c:auto val="1"/>
        <c:lblAlgn val="ctr"/>
        <c:lblOffset val="100"/>
        <c:noMultiLvlLbl val="0"/>
      </c:catAx>
      <c:valAx>
        <c:axId val="452572464"/>
        <c:scaling>
          <c:orientation val="minMax"/>
        </c:scaling>
        <c:delete val="0"/>
        <c:axPos val="b"/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988624"/>
        <c:crosses val="autoZero"/>
        <c:crossBetween val="between"/>
      </c:valAx>
      <c:spPr>
        <a:pattFill prst="narHorz">
          <a:fgClr>
            <a:srgbClr val="FFFFFF"/>
          </a:fgClr>
          <a:bgClr>
            <a:schemeClr val="bg1"/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pattFill prst="pct20">
      <a:fgClr>
        <a:srgbClr val="FFFFFF"/>
      </a:fgClr>
      <a:bgClr>
        <a:schemeClr val="bg1"/>
      </a:bgClr>
    </a:pattFill>
    <a:ln w="25400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SUMMARY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'Statistic Reports'!$C$14:$D$14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'Statistic Reports'!$C$14:$D$14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'Statistic Reports'!$C$28:$D$28</c:f>
              <c:numCache>
                <c:formatCode>_-* #,##0_-;\-* #,##0_-;_-* "-"??_-;_-@_-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5400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Mother Age Category with Child Gender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'Statistic Reports'!$C$73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'Statistic Reports'!$B$74:$B$82</c:f>
              <c:strCache>
                <c:ptCount val="9"/>
                <c:pt idx="0">
                  <c:v>Belo 15 Years Old</c:v>
                </c:pt>
                <c:pt idx="1">
                  <c:v>15-19</c:v>
                </c:pt>
                <c:pt idx="2">
                  <c:v>20-24</c:v>
                </c:pt>
                <c:pt idx="3">
                  <c:v>25-29</c:v>
                </c:pt>
                <c:pt idx="4">
                  <c:v>30-34</c:v>
                </c:pt>
                <c:pt idx="5">
                  <c:v>35-39</c:v>
                </c:pt>
                <c:pt idx="6">
                  <c:v>40-44</c:v>
                </c:pt>
                <c:pt idx="7">
                  <c:v>45 and Up</c:v>
                </c:pt>
                <c:pt idx="8">
                  <c:v>Age - Not Stated</c:v>
                </c:pt>
              </c:strCache>
            </c:strRef>
          </c:cat>
          <c:val>
            <c:numRef>
              <c:f>'Statistic Reports'!$C$74:$C$82</c:f>
              <c:numCache>
                <c:formatCode>_-* #,##0_-;\-* #,##0_-;_-* "-"??_-;_-@_-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strRef>
              <c:f>'Statistic Reports'!$D$73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'Statistic Reports'!$B$74:$B$82</c:f>
              <c:strCache>
                <c:ptCount val="9"/>
                <c:pt idx="0">
                  <c:v>Belo 15 Years Old</c:v>
                </c:pt>
                <c:pt idx="1">
                  <c:v>15-19</c:v>
                </c:pt>
                <c:pt idx="2">
                  <c:v>20-24</c:v>
                </c:pt>
                <c:pt idx="3">
                  <c:v>25-29</c:v>
                </c:pt>
                <c:pt idx="4">
                  <c:v>30-34</c:v>
                </c:pt>
                <c:pt idx="5">
                  <c:v>35-39</c:v>
                </c:pt>
                <c:pt idx="6">
                  <c:v>40-44</c:v>
                </c:pt>
                <c:pt idx="7">
                  <c:v>45 and Up</c:v>
                </c:pt>
                <c:pt idx="8">
                  <c:v>Age - Not Stated</c:v>
                </c:pt>
              </c:strCache>
            </c:strRef>
          </c:cat>
          <c:val>
            <c:numRef>
              <c:f>'Statistic Reports'!$D$74:$D$82</c:f>
              <c:numCache>
                <c:formatCode>_-* #,##0_-;\-* #,##0_-;_-* "-"??_-;_-@_-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2572856"/>
        <c:axId val="452567368"/>
      </c:barChart>
      <c:lineChart>
        <c:grouping val="standard"/>
        <c:varyColors val="0"/>
        <c:ser>
          <c:idx val="2"/>
          <c:order val="2"/>
          <c:tx>
            <c:strRef>
              <c:f>'Statistic Reports'!$E$73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 cmpd="sng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73025">
                <a:solidFill>
                  <a:srgbClr val="FF000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6085629517272344E-2"/>
                  <c:y val="-9.04543035959554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'Statistic Reports'!$B$74:$B$82</c:f>
              <c:strCache>
                <c:ptCount val="9"/>
                <c:pt idx="0">
                  <c:v>Belo 15 Years Old</c:v>
                </c:pt>
                <c:pt idx="1">
                  <c:v>15-19</c:v>
                </c:pt>
                <c:pt idx="2">
                  <c:v>20-24</c:v>
                </c:pt>
                <c:pt idx="3">
                  <c:v>25-29</c:v>
                </c:pt>
                <c:pt idx="4">
                  <c:v>30-34</c:v>
                </c:pt>
                <c:pt idx="5">
                  <c:v>35-39</c:v>
                </c:pt>
                <c:pt idx="6">
                  <c:v>40-44</c:v>
                </c:pt>
                <c:pt idx="7">
                  <c:v>45 and Up</c:v>
                </c:pt>
                <c:pt idx="8">
                  <c:v>Age - Not Stated</c:v>
                </c:pt>
              </c:strCache>
            </c:strRef>
          </c:cat>
          <c:val>
            <c:numRef>
              <c:f>'Statistic Reports'!$E$74:$E$82</c:f>
              <c:numCache>
                <c:formatCode>_-* #,##0_-;\-* #,##0_-;_-* "-"??_-;_-@_-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2572856"/>
        <c:axId val="452567368"/>
      </c:lineChart>
      <c:catAx>
        <c:axId val="452572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567368"/>
        <c:crosses val="autoZero"/>
        <c:auto val="1"/>
        <c:lblAlgn val="ctr"/>
        <c:lblOffset val="100"/>
        <c:noMultiLvlLbl val="0"/>
      </c:catAx>
      <c:valAx>
        <c:axId val="452567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572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22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Birth Registration By Attendant Type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'Statistic Reports'!$C$108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'Statistic Reports'!$B$109:$B$116</c:f>
              <c:strCache>
                <c:ptCount val="8"/>
                <c:pt idx="0">
                  <c:v>PHYSICIAN</c:v>
                </c:pt>
                <c:pt idx="1">
                  <c:v>NURSE</c:v>
                </c:pt>
                <c:pt idx="2">
                  <c:v>OBGYNE</c:v>
                </c:pt>
                <c:pt idx="3">
                  <c:v>OBSTETRICIAN/ GYNECOLOGIST</c:v>
                </c:pt>
                <c:pt idx="4">
                  <c:v>MIDWIFE</c:v>
                </c:pt>
                <c:pt idx="5">
                  <c:v>HILOT</c:v>
                </c:pt>
                <c:pt idx="6">
                  <c:v>OTHERS</c:v>
                </c:pt>
                <c:pt idx="7">
                  <c:v>NOT STATED</c:v>
                </c:pt>
              </c:strCache>
            </c:strRef>
          </c:cat>
          <c:val>
            <c:numRef>
              <c:f>'Statistic Reports'!$C$109:$C$116</c:f>
              <c:numCache>
                <c:formatCode>_-* #,##0_-;\-* #,##0_-;_-* "-"??_-;_-@_-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tx>
            <c:strRef>
              <c:f>'Statistic Reports'!$D$108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'Statistic Reports'!$B$109:$B$116</c:f>
              <c:strCache>
                <c:ptCount val="8"/>
                <c:pt idx="0">
                  <c:v>PHYSICIAN</c:v>
                </c:pt>
                <c:pt idx="1">
                  <c:v>NURSE</c:v>
                </c:pt>
                <c:pt idx="2">
                  <c:v>OBGYNE</c:v>
                </c:pt>
                <c:pt idx="3">
                  <c:v>OBSTETRICIAN/ GYNECOLOGIST</c:v>
                </c:pt>
                <c:pt idx="4">
                  <c:v>MIDWIFE</c:v>
                </c:pt>
                <c:pt idx="5">
                  <c:v>HILOT</c:v>
                </c:pt>
                <c:pt idx="6">
                  <c:v>OTHERS</c:v>
                </c:pt>
                <c:pt idx="7">
                  <c:v>NOT STATED</c:v>
                </c:pt>
              </c:strCache>
            </c:strRef>
          </c:cat>
          <c:val>
            <c:numRef>
              <c:f>'Statistic Reports'!$D$109:$D$116</c:f>
              <c:numCache>
                <c:formatCode>_-* #,##0_-;\-* #,##0_-;_-* "-"??_-;_-@_-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2573640"/>
        <c:axId val="452570504"/>
      </c:barChart>
      <c:catAx>
        <c:axId val="452573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570504"/>
        <c:crosses val="autoZero"/>
        <c:auto val="1"/>
        <c:lblAlgn val="ctr"/>
        <c:lblOffset val="100"/>
        <c:noMultiLvlLbl val="0"/>
      </c:catAx>
      <c:valAx>
        <c:axId val="452570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573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val>
            <c:numRef>
              <c:f>ByMunicipality!#REF!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ByMunicipality!#REF!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ByMunicipality!#REF!</c15:sqref>
                        </c15:formulaRef>
                      </c:ext>
                    </c:extLst>
                  </c:multiLvlStr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5400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Mother Age Category with Child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ByMunicipality!#REF!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ByMunicipality!#REF!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ByMunicipality!#REF!</c15:sqref>
                        </c15:formulaRef>
                      </c:ext>
                    </c:extLst>
                  </c:multiLvlStrRef>
                </c15:cat>
              </c15:filteredCategoryTitle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ByMunicipality!#REF!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ByMunicipality!#REF!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ByMunicipality!#REF!</c15:sqref>
                        </c15:formulaRef>
                      </c:ext>
                    </c:extLst>
                  </c:multiLvlStr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2567760"/>
        <c:axId val="452570896"/>
      </c:barChart>
      <c:lineChart>
        <c:grouping val="standard"/>
        <c:varyColors val="0"/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73025">
                <a:solidFill>
                  <a:srgbClr val="FF0000"/>
                </a:solidFill>
              </a:ln>
              <a:effectLst/>
            </c:spPr>
          </c:marker>
          <c:val>
            <c:numRef>
              <c:f>ByMunicipality!#REF!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ByMunicipality!#REF!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ByMunicipality!#REF!</c15:sqref>
                        </c15:formulaRef>
                      </c:ext>
                    </c:extLst>
                  </c:multiLvlStr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2567760"/>
        <c:axId val="452570896"/>
      </c:lineChart>
      <c:catAx>
        <c:axId val="452567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570896"/>
        <c:crosses val="autoZero"/>
        <c:auto val="1"/>
        <c:lblAlgn val="ctr"/>
        <c:lblOffset val="100"/>
        <c:noMultiLvlLbl val="0"/>
      </c:catAx>
      <c:valAx>
        <c:axId val="45257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567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22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val>
            <c:numRef>
              <c:f>ByMunicipality!#REF!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ByMunicipality!#REF!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ByMunicipality!#REF!</c15:sqref>
                        </c15:formulaRef>
                      </c:ext>
                    </c:extLst>
                  </c:multiLvlStr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5400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Mother Age Category with Child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ByMunicipality!#REF!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ByMunicipality!#REF!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ByMunicipality!#REF!</c15:sqref>
                        </c15:formulaRef>
                      </c:ext>
                    </c:extLst>
                  </c:multiLvlStrRef>
                </c15:cat>
              </c15:filteredCategoryTitle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ByMunicipality!#REF!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ByMunicipality!#REF!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ByMunicipality!#REF!</c15:sqref>
                        </c15:formulaRef>
                      </c:ext>
                    </c:extLst>
                  </c:multiLvlStr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2569720"/>
        <c:axId val="452571288"/>
      </c:barChart>
      <c:lineChart>
        <c:grouping val="standard"/>
        <c:varyColors val="0"/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73025">
                <a:solidFill>
                  <a:srgbClr val="FF0000"/>
                </a:solidFill>
              </a:ln>
              <a:effectLst/>
            </c:spPr>
          </c:marker>
          <c:val>
            <c:numRef>
              <c:f>ByMunicipality!#REF!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ByMunicipality!#REF!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ByMunicipality!#REF!</c15:sqref>
                        </c15:formulaRef>
                      </c:ext>
                    </c:extLst>
                  </c:multiLvlStr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2569720"/>
        <c:axId val="452571288"/>
      </c:lineChart>
      <c:catAx>
        <c:axId val="452569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571288"/>
        <c:crosses val="autoZero"/>
        <c:auto val="1"/>
        <c:lblAlgn val="ctr"/>
        <c:lblOffset val="100"/>
        <c:noMultiLvlLbl val="0"/>
      </c:catAx>
      <c:valAx>
        <c:axId val="452571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569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22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48</xdr:row>
      <xdr:rowOff>101973</xdr:rowOff>
    </xdr:from>
    <xdr:to>
      <xdr:col>5</xdr:col>
      <xdr:colOff>0</xdr:colOff>
      <xdr:row>68</xdr:row>
      <xdr:rowOff>123265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1221441</xdr:colOff>
      <xdr:row>28</xdr:row>
      <xdr:rowOff>112059</xdr:rowOff>
    </xdr:from>
    <xdr:to>
      <xdr:col>4</xdr:col>
      <xdr:colOff>2241175</xdr:colOff>
      <xdr:row>48</xdr:row>
      <xdr:rowOff>47624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100852</xdr:colOff>
      <xdr:row>28</xdr:row>
      <xdr:rowOff>101974</xdr:rowOff>
    </xdr:from>
    <xdr:to>
      <xdr:col>2</xdr:col>
      <xdr:colOff>1154206</xdr:colOff>
      <xdr:row>48</xdr:row>
      <xdr:rowOff>44824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134470</xdr:colOff>
      <xdr:row>84</xdr:row>
      <xdr:rowOff>101972</xdr:rowOff>
    </xdr:from>
    <xdr:to>
      <xdr:col>5</xdr:col>
      <xdr:colOff>11206</xdr:colOff>
      <xdr:row>103</xdr:row>
      <xdr:rowOff>190499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133349</xdr:colOff>
      <xdr:row>118</xdr:row>
      <xdr:rowOff>109536</xdr:rowOff>
    </xdr:from>
    <xdr:to>
      <xdr:col>2</xdr:col>
      <xdr:colOff>1714500</xdr:colOff>
      <xdr:row>133</xdr:row>
      <xdr:rowOff>57150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100852</xdr:colOff>
      <xdr:row>12</xdr:row>
      <xdr:rowOff>0</xdr:rowOff>
    </xdr:from>
    <xdr:to>
      <xdr:col>5</xdr:col>
      <xdr:colOff>1154206</xdr:colOff>
      <xdr:row>12</xdr:row>
      <xdr:rowOff>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134470</xdr:colOff>
      <xdr:row>12</xdr:row>
      <xdr:rowOff>0</xdr:rowOff>
    </xdr:from>
    <xdr:to>
      <xdr:col>8</xdr:col>
      <xdr:colOff>11206</xdr:colOff>
      <xdr:row>12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100852</xdr:colOff>
      <xdr:row>13</xdr:row>
      <xdr:rowOff>0</xdr:rowOff>
    </xdr:from>
    <xdr:to>
      <xdr:col>6</xdr:col>
      <xdr:colOff>0</xdr:colOff>
      <xdr:row>13</xdr:row>
      <xdr:rowOff>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134470</xdr:colOff>
      <xdr:row>13</xdr:row>
      <xdr:rowOff>0</xdr:rowOff>
    </xdr:from>
    <xdr:to>
      <xdr:col>7</xdr:col>
      <xdr:colOff>11206</xdr:colOff>
      <xdr:row>13</xdr:row>
      <xdr:rowOff>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_Data" displayName="Table_Data" ref="A1:BG2" insertRow="1" totalsRowShown="0" headerRowDxfId="61" dataDxfId="60" tableBorderDxfId="59">
  <autoFilter ref="A1:BG2"/>
  <tableColumns count="59">
    <tableColumn id="1" name="RegistryNum" dataDxfId="58"/>
    <tableColumn id="2" name="DocumentStatus" dataDxfId="57"/>
    <tableColumn id="3" name="CFirstName" dataDxfId="56"/>
    <tableColumn id="4" name="CMiddleName" dataDxfId="55"/>
    <tableColumn id="5" name="CLastName" dataDxfId="54"/>
    <tableColumn id="6" name="CSexId" dataDxfId="53"/>
    <tableColumn id="7" name="CBirthDate" dataDxfId="52"/>
    <tableColumn id="8" name="CBirthAddress" dataDxfId="51"/>
    <tableColumn id="9" name="CBirthMunicipality" dataDxfId="50"/>
    <tableColumn id="10" name="CBirthMunicipalityId" dataDxfId="49"/>
    <tableColumn id="11" name="CBirthProvince" dataDxfId="48"/>
    <tableColumn id="12" name="CBirthProvinceId" dataDxfId="47"/>
    <tableColumn id="13" name="CBirthCountry" dataDxfId="46"/>
    <tableColumn id="14" name="CBirthCountryId" dataDxfId="45"/>
    <tableColumn id="15" name="CBirthTypeId" dataDxfId="44"/>
    <tableColumn id="16" name="MFirstName" dataDxfId="43"/>
    <tableColumn id="17" name="MMiddleName" dataDxfId="42"/>
    <tableColumn id="18" name="MLastName" dataDxfId="41"/>
    <tableColumn id="19" name="MCitizenship" dataDxfId="40"/>
    <tableColumn id="20" name="MCitizenshipId" dataDxfId="39"/>
    <tableColumn id="21" name="MOccupation" dataDxfId="38"/>
    <tableColumn id="22" name="MOccupationId" dataDxfId="37"/>
    <tableColumn id="23" name="MAge" dataDxfId="36"/>
    <tableColumn id="24" name="MAddress" dataDxfId="35"/>
    <tableColumn id="25" name="MMunicipality" dataDxfId="34"/>
    <tableColumn id="26" name="MMunicipalityId" dataDxfId="33"/>
    <tableColumn id="27" name="MProvince" dataDxfId="32"/>
    <tableColumn id="28" name="MProvinceId" dataDxfId="31"/>
    <tableColumn id="29" name="MCountry" dataDxfId="30"/>
    <tableColumn id="30" name="MCountryId" dataDxfId="29"/>
    <tableColumn id="31" name="FFirstName" dataDxfId="28"/>
    <tableColumn id="32" name="FMiddleName" dataDxfId="27"/>
    <tableColumn id="33" name="FLastName" dataDxfId="26"/>
    <tableColumn id="34" name="FCitizenship" dataDxfId="25"/>
    <tableColumn id="35" name="FCitizenshipId" dataDxfId="24"/>
    <tableColumn id="36" name="FOccupation" dataDxfId="23"/>
    <tableColumn id="37" name="FOccupationId" dataDxfId="22"/>
    <tableColumn id="38" name="FAge" dataDxfId="21"/>
    <tableColumn id="39" name="FAddress" dataDxfId="20"/>
    <tableColumn id="40" name="FMunicipality" dataDxfId="19"/>
    <tableColumn id="41" name="FMunicipalityId" dataDxfId="18"/>
    <tableColumn id="42" name="FProvince" dataDxfId="17"/>
    <tableColumn id="43" name="FProvinceId" dataDxfId="16"/>
    <tableColumn id="44" name="FCountry" dataDxfId="15"/>
    <tableColumn id="45" name="FCountryId" dataDxfId="14"/>
    <tableColumn id="46" name="AttendantId" dataDxfId="13"/>
    <tableColumn id="47" name="AttendantName" dataDxfId="12"/>
    <tableColumn id="48" name="AttendantTitle" dataDxfId="11"/>
    <tableColumn id="49" name="PreparerName" dataDxfId="10"/>
    <tableColumn id="50" name="PreparerTitle" dataDxfId="9"/>
    <tableColumn id="51" name="PreparerDate" dataDxfId="8"/>
    <tableColumn id="52" name="DateReceived" dataDxfId="7"/>
    <tableColumn id="53" name="DateRegistered" dataDxfId="6"/>
    <tableColumn id="54" name="Week Number" dataDxfId="5"/>
    <tableColumn id="55" name="Week Start Date" dataDxfId="4"/>
    <tableColumn id="56" name="Week End Date" dataDxfId="3"/>
    <tableColumn id="57" name="Year" dataDxfId="2"/>
    <tableColumn id="58" name="Month" dataDxfId="1"/>
    <tableColumn id="59" name="Da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2"/>
  <sheetViews>
    <sheetView tabSelected="1" workbookViewId="0"/>
  </sheetViews>
  <sheetFormatPr defaultRowHeight="15" x14ac:dyDescent="0.25"/>
  <cols>
    <col min="1" max="1" width="13.7109375" bestFit="1" customWidth="1"/>
    <col min="2" max="2" width="17" bestFit="1" customWidth="1"/>
    <col min="3" max="3" width="24.140625" bestFit="1" customWidth="1"/>
    <col min="4" max="4" width="14.140625" bestFit="1" customWidth="1"/>
    <col min="5" max="5" width="12.7109375" bestFit="1" customWidth="1"/>
    <col min="6" max="6" width="9" bestFit="1" customWidth="1"/>
    <col min="7" max="7" width="12" bestFit="1" customWidth="1"/>
    <col min="8" max="8" width="61.7109375" bestFit="1" customWidth="1"/>
    <col min="9" max="9" width="42.140625" bestFit="1" customWidth="1"/>
    <col min="10" max="10" width="19.85546875" bestFit="1" customWidth="1"/>
    <col min="11" max="11" width="15.140625" bestFit="1" customWidth="1"/>
    <col min="12" max="12" width="17" bestFit="1" customWidth="1"/>
    <col min="13" max="13" width="14.5703125" bestFit="1" customWidth="1"/>
    <col min="14" max="14" width="16.42578125" bestFit="1" customWidth="1"/>
    <col min="15" max="15" width="13.85546875" bestFit="1" customWidth="1"/>
    <col min="16" max="16" width="22.140625" bestFit="1" customWidth="1"/>
    <col min="17" max="17" width="14.5703125" bestFit="1" customWidth="1"/>
    <col min="18" max="18" width="13.140625" bestFit="1" customWidth="1"/>
    <col min="19" max="19" width="13.42578125" bestFit="1" customWidth="1"/>
    <col min="20" max="20" width="15.140625" bestFit="1" customWidth="1"/>
    <col min="21" max="21" width="42.42578125" bestFit="1" customWidth="1"/>
    <col min="22" max="22" width="15.5703125" bestFit="1" customWidth="1"/>
    <col min="23" max="23" width="7.85546875" bestFit="1" customWidth="1"/>
    <col min="24" max="24" width="55.5703125" bestFit="1" customWidth="1"/>
    <col min="25" max="25" width="49.85546875" bestFit="1" customWidth="1"/>
    <col min="26" max="26" width="16.28515625" bestFit="1" customWidth="1"/>
    <col min="27" max="27" width="24.140625" bestFit="1" customWidth="1"/>
    <col min="28" max="28" width="13.42578125" bestFit="1" customWidth="1"/>
    <col min="29" max="29" width="11.140625" bestFit="1" customWidth="1"/>
    <col min="30" max="30" width="12.85546875" bestFit="1" customWidth="1"/>
    <col min="31" max="31" width="20.5703125" bestFit="1" customWidth="1"/>
    <col min="32" max="32" width="20.140625" bestFit="1" customWidth="1"/>
    <col min="33" max="33" width="12.7109375" bestFit="1" customWidth="1"/>
    <col min="34" max="34" width="14.7109375" bestFit="1" customWidth="1"/>
    <col min="35" max="35" width="14.5703125" bestFit="1" customWidth="1"/>
    <col min="36" max="36" width="43.85546875" bestFit="1" customWidth="1"/>
    <col min="37" max="37" width="14.85546875" bestFit="1" customWidth="1"/>
    <col min="38" max="38" width="7.28515625" bestFit="1" customWidth="1"/>
    <col min="39" max="39" width="55.5703125" bestFit="1" customWidth="1"/>
    <col min="40" max="40" width="49.85546875" bestFit="1" customWidth="1"/>
    <col min="41" max="41" width="15.7109375" bestFit="1" customWidth="1"/>
    <col min="42" max="42" width="24.140625" bestFit="1" customWidth="1"/>
    <col min="43" max="43" width="12.85546875" bestFit="1" customWidth="1"/>
    <col min="44" max="44" width="10.5703125" bestFit="1" customWidth="1"/>
    <col min="45" max="45" width="12.28515625" bestFit="1" customWidth="1"/>
    <col min="46" max="46" width="13.28515625" bestFit="1" customWidth="1"/>
    <col min="47" max="47" width="37" bestFit="1" customWidth="1"/>
    <col min="48" max="48" width="29" bestFit="1" customWidth="1"/>
    <col min="49" max="49" width="30" bestFit="1" customWidth="1"/>
    <col min="50" max="50" width="22.85546875" bestFit="1" customWidth="1"/>
    <col min="51" max="51" width="14.28515625" bestFit="1" customWidth="1"/>
    <col min="52" max="52" width="14.5703125" bestFit="1" customWidth="1"/>
    <col min="53" max="53" width="16.140625" bestFit="1" customWidth="1"/>
    <col min="54" max="54" width="14.5703125" bestFit="1" customWidth="1"/>
    <col min="55" max="55" width="16.85546875" bestFit="1" customWidth="1"/>
    <col min="56" max="56" width="15.5703125" bestFit="1" customWidth="1"/>
    <col min="57" max="57" width="7" bestFit="1" customWidth="1"/>
    <col min="58" max="58" width="8.42578125" bestFit="1" customWidth="1"/>
    <col min="59" max="59" width="6.42578125" bestFit="1" customWidth="1"/>
  </cols>
  <sheetData>
    <row r="1" spans="1:59" x14ac:dyDescent="0.25">
      <c r="A1" s="16" t="s">
        <v>29</v>
      </c>
      <c r="B1" s="16" t="s">
        <v>30</v>
      </c>
      <c r="C1" s="16" t="s">
        <v>31</v>
      </c>
      <c r="D1" s="16" t="s">
        <v>32</v>
      </c>
      <c r="E1" s="16" t="s">
        <v>33</v>
      </c>
      <c r="F1" s="16" t="s">
        <v>34</v>
      </c>
      <c r="G1" s="16" t="s">
        <v>35</v>
      </c>
      <c r="H1" s="16" t="s">
        <v>36</v>
      </c>
      <c r="I1" s="16" t="s">
        <v>37</v>
      </c>
      <c r="J1" s="16" t="s">
        <v>38</v>
      </c>
      <c r="K1" s="16" t="s">
        <v>39</v>
      </c>
      <c r="L1" s="16" t="s">
        <v>40</v>
      </c>
      <c r="M1" s="16" t="s">
        <v>41</v>
      </c>
      <c r="N1" s="16" t="s">
        <v>42</v>
      </c>
      <c r="O1" s="16" t="s">
        <v>43</v>
      </c>
      <c r="P1" s="16" t="s">
        <v>44</v>
      </c>
      <c r="Q1" s="16" t="s">
        <v>45</v>
      </c>
      <c r="R1" s="16" t="s">
        <v>46</v>
      </c>
      <c r="S1" s="16" t="s">
        <v>47</v>
      </c>
      <c r="T1" s="16" t="s">
        <v>48</v>
      </c>
      <c r="U1" s="16" t="s">
        <v>49</v>
      </c>
      <c r="V1" s="16" t="s">
        <v>50</v>
      </c>
      <c r="W1" s="16" t="s">
        <v>51</v>
      </c>
      <c r="X1" s="16" t="s">
        <v>52</v>
      </c>
      <c r="Y1" s="16" t="s">
        <v>53</v>
      </c>
      <c r="Z1" s="16" t="s">
        <v>54</v>
      </c>
      <c r="AA1" s="16" t="s">
        <v>55</v>
      </c>
      <c r="AB1" s="16" t="s">
        <v>56</v>
      </c>
      <c r="AC1" s="16" t="s">
        <v>57</v>
      </c>
      <c r="AD1" s="16" t="s">
        <v>58</v>
      </c>
      <c r="AE1" s="16" t="s">
        <v>59</v>
      </c>
      <c r="AF1" s="16" t="s">
        <v>60</v>
      </c>
      <c r="AG1" s="16" t="s">
        <v>61</v>
      </c>
      <c r="AH1" s="16" t="s">
        <v>62</v>
      </c>
      <c r="AI1" s="16" t="s">
        <v>63</v>
      </c>
      <c r="AJ1" s="16" t="s">
        <v>64</v>
      </c>
      <c r="AK1" s="16" t="s">
        <v>65</v>
      </c>
      <c r="AL1" s="16" t="s">
        <v>66</v>
      </c>
      <c r="AM1" s="16" t="s">
        <v>67</v>
      </c>
      <c r="AN1" s="16" t="s">
        <v>68</v>
      </c>
      <c r="AO1" s="16" t="s">
        <v>69</v>
      </c>
      <c r="AP1" s="16" t="s">
        <v>70</v>
      </c>
      <c r="AQ1" s="16" t="s">
        <v>71</v>
      </c>
      <c r="AR1" s="16" t="s">
        <v>72</v>
      </c>
      <c r="AS1" s="16" t="s">
        <v>73</v>
      </c>
      <c r="AT1" s="16" t="s">
        <v>74</v>
      </c>
      <c r="AU1" s="16" t="s">
        <v>75</v>
      </c>
      <c r="AV1" s="16" t="s">
        <v>76</v>
      </c>
      <c r="AW1" s="16" t="s">
        <v>77</v>
      </c>
      <c r="AX1" s="16" t="s">
        <v>78</v>
      </c>
      <c r="AY1" s="16" t="s">
        <v>79</v>
      </c>
      <c r="AZ1" s="16" t="s">
        <v>80</v>
      </c>
      <c r="BA1" s="16" t="s">
        <v>81</v>
      </c>
      <c r="BB1" s="16" t="s">
        <v>82</v>
      </c>
      <c r="BC1" s="16" t="s">
        <v>83</v>
      </c>
      <c r="BD1" s="16" t="s">
        <v>84</v>
      </c>
      <c r="BE1" s="16" t="s">
        <v>85</v>
      </c>
      <c r="BF1" s="16" t="s">
        <v>23</v>
      </c>
      <c r="BG1" s="16" t="s">
        <v>86</v>
      </c>
    </row>
    <row r="2" spans="1:59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5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89"/>
  <sheetViews>
    <sheetView showGridLines="0" view="pageBreakPreview" zoomScaleNormal="100" zoomScaleSheetLayoutView="100" workbookViewId="0">
      <selection activeCell="J17" sqref="J17"/>
    </sheetView>
  </sheetViews>
  <sheetFormatPr defaultRowHeight="15" x14ac:dyDescent="0.25"/>
  <cols>
    <col min="1" max="1" width="2.140625" customWidth="1"/>
    <col min="2" max="2" width="35.28515625" customWidth="1"/>
    <col min="3" max="5" width="27.140625" customWidth="1"/>
    <col min="6" max="6" width="1.5703125" customWidth="1"/>
    <col min="7" max="7" width="2.7109375" customWidth="1"/>
  </cols>
  <sheetData>
    <row r="1" spans="2:13" x14ac:dyDescent="0.25">
      <c r="B1" s="42"/>
      <c r="C1" s="42"/>
      <c r="D1" s="42"/>
      <c r="E1" s="42"/>
    </row>
    <row r="2" spans="2:13" x14ac:dyDescent="0.25">
      <c r="B2" s="43" t="s">
        <v>97</v>
      </c>
      <c r="C2" s="43"/>
      <c r="D2" s="43"/>
      <c r="E2" s="43"/>
    </row>
    <row r="3" spans="2:13" x14ac:dyDescent="0.25">
      <c r="B3" s="43"/>
      <c r="C3" s="43"/>
      <c r="D3" s="43"/>
      <c r="E3" s="43"/>
    </row>
    <row r="4" spans="2:13" x14ac:dyDescent="0.25">
      <c r="B4" s="43" t="s">
        <v>98</v>
      </c>
      <c r="C4" s="43"/>
      <c r="D4" s="43"/>
      <c r="E4" s="43"/>
    </row>
    <row r="5" spans="2:13" x14ac:dyDescent="0.25">
      <c r="B5" s="42"/>
      <c r="C5" s="42"/>
      <c r="D5" s="42"/>
      <c r="E5" s="42"/>
    </row>
    <row r="6" spans="2:13" x14ac:dyDescent="0.25">
      <c r="B6" s="42"/>
      <c r="C6" s="42"/>
      <c r="D6" s="42"/>
      <c r="E6" s="42"/>
    </row>
    <row r="7" spans="2:13" ht="15.75" thickBot="1" x14ac:dyDescent="0.3">
      <c r="B7" s="44"/>
      <c r="C7" s="44"/>
      <c r="D7" s="44"/>
      <c r="E7" s="44"/>
    </row>
    <row r="8" spans="2:13" ht="8.25" customHeight="1" thickTop="1" x14ac:dyDescent="0.25"/>
    <row r="9" spans="2:13" x14ac:dyDescent="0.25">
      <c r="B9" s="45" t="str">
        <f>+'Data Source'!BE2 &amp; " : " &amp; " BIRTH REGISTRATION STATISTICS REPORTS"</f>
        <v xml:space="preserve"> :  BIRTH REGISTRATION STATISTICS REPORTS</v>
      </c>
      <c r="C9" s="45"/>
      <c r="D9" s="45"/>
      <c r="E9" s="45"/>
    </row>
    <row r="10" spans="2:13" x14ac:dyDescent="0.25">
      <c r="B10" s="45"/>
      <c r="C10" s="45"/>
      <c r="D10" s="45"/>
      <c r="E10" s="45"/>
    </row>
    <row r="11" spans="2:13" ht="15.75" thickBot="1" x14ac:dyDescent="0.3"/>
    <row r="12" spans="2:13" s="31" customFormat="1" ht="22.5" customHeight="1" thickBot="1" x14ac:dyDescent="0.3">
      <c r="B12" s="28" t="s">
        <v>95</v>
      </c>
      <c r="C12" s="29"/>
      <c r="D12" s="29"/>
      <c r="E12" s="30"/>
    </row>
    <row r="13" spans="2:13" ht="15.75" thickBot="1" x14ac:dyDescent="0.3">
      <c r="L13" s="42" t="s">
        <v>96</v>
      </c>
      <c r="M13" s="42"/>
    </row>
    <row r="14" spans="2:13" ht="34.5" customHeight="1" x14ac:dyDescent="0.25">
      <c r="B14" s="17" t="s">
        <v>23</v>
      </c>
      <c r="C14" s="18" t="s">
        <v>28</v>
      </c>
      <c r="D14" s="18" t="s">
        <v>1</v>
      </c>
      <c r="E14" s="19" t="s">
        <v>0</v>
      </c>
      <c r="L14" s="40" t="s">
        <v>87</v>
      </c>
      <c r="M14" s="40"/>
    </row>
    <row r="15" spans="2:13" ht="20.25" customHeight="1" x14ac:dyDescent="0.25">
      <c r="B15" s="11" t="s">
        <v>11</v>
      </c>
      <c r="C15" s="4">
        <f>++COUNTIFS('Data Source'!$BF:$BF,'Statistic Reports'!$L15,'Data Source'!$F:$F,'Statistic Reports'!C$14)</f>
        <v>0</v>
      </c>
      <c r="D15" s="4">
        <f>++COUNTIFS('Data Source'!$BF:$BF,'Statistic Reports'!$L15,'Data Source'!$F:$F,'Statistic Reports'!D$14)</f>
        <v>0</v>
      </c>
      <c r="E15" s="20">
        <f>D15+C15</f>
        <v>0</v>
      </c>
      <c r="L15">
        <v>1</v>
      </c>
    </row>
    <row r="16" spans="2:13" ht="20.25" customHeight="1" x14ac:dyDescent="0.25">
      <c r="B16" s="11" t="s">
        <v>12</v>
      </c>
      <c r="C16" s="4">
        <f>++COUNTIFS('Data Source'!$BF:$BF,'Statistic Reports'!$L16,'Data Source'!$F:$F,'Statistic Reports'!C$14)</f>
        <v>0</v>
      </c>
      <c r="D16" s="4">
        <f>++COUNTIFS('Data Source'!$BF:$BF,'Statistic Reports'!$L16,'Data Source'!$F:$F,'Statistic Reports'!D$14)</f>
        <v>0</v>
      </c>
      <c r="E16" s="20">
        <f t="shared" ref="E16:E26" si="0">+D16+C16</f>
        <v>0</v>
      </c>
      <c r="L16">
        <v>2</v>
      </c>
    </row>
    <row r="17" spans="2:12" ht="20.25" customHeight="1" x14ac:dyDescent="0.25">
      <c r="B17" s="11" t="s">
        <v>13</v>
      </c>
      <c r="C17" s="4">
        <f>++COUNTIFS('Data Source'!$BF:$BF,'Statistic Reports'!$L17,'Data Source'!$F:$F,'Statistic Reports'!C$14)</f>
        <v>0</v>
      </c>
      <c r="D17" s="4">
        <f>++COUNTIFS('Data Source'!$BF:$BF,'Statistic Reports'!$L17,'Data Source'!$F:$F,'Statistic Reports'!D$14)</f>
        <v>0</v>
      </c>
      <c r="E17" s="20">
        <f t="shared" si="0"/>
        <v>0</v>
      </c>
      <c r="L17">
        <v>3</v>
      </c>
    </row>
    <row r="18" spans="2:12" ht="20.25" customHeight="1" x14ac:dyDescent="0.25">
      <c r="B18" s="11" t="s">
        <v>14</v>
      </c>
      <c r="C18" s="4">
        <f>++COUNTIFS('Data Source'!$BF:$BF,'Statistic Reports'!$L18,'Data Source'!$F:$F,'Statistic Reports'!C$14)</f>
        <v>0</v>
      </c>
      <c r="D18" s="4">
        <f>++COUNTIFS('Data Source'!$BF:$BF,'Statistic Reports'!$L18,'Data Source'!$F:$F,'Statistic Reports'!D$14)</f>
        <v>0</v>
      </c>
      <c r="E18" s="20">
        <f t="shared" si="0"/>
        <v>0</v>
      </c>
      <c r="L18">
        <v>4</v>
      </c>
    </row>
    <row r="19" spans="2:12" ht="20.25" customHeight="1" x14ac:dyDescent="0.25">
      <c r="B19" s="11" t="s">
        <v>15</v>
      </c>
      <c r="C19" s="4">
        <f>++COUNTIFS('Data Source'!$BF:$BF,'Statistic Reports'!$L19,'Data Source'!$F:$F,'Statistic Reports'!C$14)</f>
        <v>0</v>
      </c>
      <c r="D19" s="4">
        <f>++COUNTIFS('Data Source'!$BF:$BF,'Statistic Reports'!$L19,'Data Source'!$F:$F,'Statistic Reports'!D$14)</f>
        <v>0</v>
      </c>
      <c r="E19" s="20">
        <f t="shared" si="0"/>
        <v>0</v>
      </c>
      <c r="L19">
        <v>5</v>
      </c>
    </row>
    <row r="20" spans="2:12" ht="20.25" customHeight="1" x14ac:dyDescent="0.25">
      <c r="B20" s="11" t="s">
        <v>16</v>
      </c>
      <c r="C20" s="4">
        <f>++COUNTIFS('Data Source'!$BF:$BF,'Statistic Reports'!$L20,'Data Source'!$F:$F,'Statistic Reports'!C$14)</f>
        <v>0</v>
      </c>
      <c r="D20" s="4">
        <f>++COUNTIFS('Data Source'!$BF:$BF,'Statistic Reports'!$L20,'Data Source'!$F:$F,'Statistic Reports'!D$14)</f>
        <v>0</v>
      </c>
      <c r="E20" s="20">
        <f t="shared" si="0"/>
        <v>0</v>
      </c>
      <c r="L20">
        <v>6</v>
      </c>
    </row>
    <row r="21" spans="2:12" ht="20.25" customHeight="1" x14ac:dyDescent="0.25">
      <c r="B21" s="11" t="s">
        <v>17</v>
      </c>
      <c r="C21" s="4">
        <f>++COUNTIFS('Data Source'!$BF:$BF,'Statistic Reports'!$L21,'Data Source'!$F:$F,'Statistic Reports'!C$14)</f>
        <v>0</v>
      </c>
      <c r="D21" s="4">
        <f>++COUNTIFS('Data Source'!$BF:$BF,'Statistic Reports'!$L21,'Data Source'!$F:$F,'Statistic Reports'!D$14)</f>
        <v>0</v>
      </c>
      <c r="E21" s="20">
        <f t="shared" si="0"/>
        <v>0</v>
      </c>
      <c r="L21">
        <v>7</v>
      </c>
    </row>
    <row r="22" spans="2:12" ht="20.25" customHeight="1" x14ac:dyDescent="0.25">
      <c r="B22" s="11" t="s">
        <v>18</v>
      </c>
      <c r="C22" s="4">
        <f>++COUNTIFS('Data Source'!$BF:$BF,'Statistic Reports'!$L22,'Data Source'!$F:$F,'Statistic Reports'!C$14)</f>
        <v>0</v>
      </c>
      <c r="D22" s="4">
        <f>++COUNTIFS('Data Source'!$BF:$BF,'Statistic Reports'!$L22,'Data Source'!$F:$F,'Statistic Reports'!D$14)</f>
        <v>0</v>
      </c>
      <c r="E22" s="20">
        <f t="shared" si="0"/>
        <v>0</v>
      </c>
      <c r="L22">
        <v>8</v>
      </c>
    </row>
    <row r="23" spans="2:12" ht="20.25" customHeight="1" x14ac:dyDescent="0.25">
      <c r="B23" s="11" t="s">
        <v>19</v>
      </c>
      <c r="C23" s="4">
        <f>++COUNTIFS('Data Source'!$BF:$BF,'Statistic Reports'!$L23,'Data Source'!$F:$F,'Statistic Reports'!C$14)</f>
        <v>0</v>
      </c>
      <c r="D23" s="4">
        <f>++COUNTIFS('Data Source'!$BF:$BF,'Statistic Reports'!$L23,'Data Source'!$F:$F,'Statistic Reports'!D$14)</f>
        <v>0</v>
      </c>
      <c r="E23" s="20">
        <f t="shared" si="0"/>
        <v>0</v>
      </c>
      <c r="L23">
        <v>9</v>
      </c>
    </row>
    <row r="24" spans="2:12" ht="20.25" customHeight="1" x14ac:dyDescent="0.25">
      <c r="B24" s="11" t="s">
        <v>20</v>
      </c>
      <c r="C24" s="4">
        <f>++COUNTIFS('Data Source'!$BF:$BF,'Statistic Reports'!$L24,'Data Source'!$F:$F,'Statistic Reports'!C$14)</f>
        <v>0</v>
      </c>
      <c r="D24" s="4">
        <f>++COUNTIFS('Data Source'!$BF:$BF,'Statistic Reports'!$L24,'Data Source'!$F:$F,'Statistic Reports'!D$14)</f>
        <v>0</v>
      </c>
      <c r="E24" s="20">
        <f t="shared" si="0"/>
        <v>0</v>
      </c>
      <c r="L24">
        <v>10</v>
      </c>
    </row>
    <row r="25" spans="2:12" ht="20.25" customHeight="1" x14ac:dyDescent="0.25">
      <c r="B25" s="11" t="s">
        <v>21</v>
      </c>
      <c r="C25" s="4">
        <f>++COUNTIFS('Data Source'!$BF:$BF,'Statistic Reports'!$L25,'Data Source'!$F:$F,'Statistic Reports'!C$14)</f>
        <v>0</v>
      </c>
      <c r="D25" s="4">
        <f>++COUNTIFS('Data Source'!$BF:$BF,'Statistic Reports'!$L25,'Data Source'!$F:$F,'Statistic Reports'!D$14)</f>
        <v>0</v>
      </c>
      <c r="E25" s="20">
        <f t="shared" si="0"/>
        <v>0</v>
      </c>
      <c r="L25">
        <v>11</v>
      </c>
    </row>
    <row r="26" spans="2:12" ht="20.25" customHeight="1" x14ac:dyDescent="0.25">
      <c r="B26" s="11" t="s">
        <v>22</v>
      </c>
      <c r="C26" s="4">
        <f>++COUNTIFS('Data Source'!$BF:$BF,'Statistic Reports'!$L26,'Data Source'!$F:$F,'Statistic Reports'!C$14)</f>
        <v>0</v>
      </c>
      <c r="D26" s="4">
        <f>++COUNTIFS('Data Source'!$BF:$BF,'Statistic Reports'!$L26,'Data Source'!$F:$F,'Statistic Reports'!D$14)</f>
        <v>0</v>
      </c>
      <c r="E26" s="20">
        <f t="shared" si="0"/>
        <v>0</v>
      </c>
      <c r="K26" t="s">
        <v>24</v>
      </c>
      <c r="L26">
        <v>12</v>
      </c>
    </row>
    <row r="27" spans="2:12" ht="8.25" customHeight="1" x14ac:dyDescent="0.25">
      <c r="B27" s="12"/>
      <c r="C27" s="7"/>
      <c r="D27" s="8"/>
      <c r="E27" s="5" t="e">
        <f>+#REF!</f>
        <v>#REF!</v>
      </c>
    </row>
    <row r="28" spans="2:12" s="27" customFormat="1" ht="21.75" customHeight="1" thickBot="1" x14ac:dyDescent="0.35">
      <c r="B28" s="24" t="s">
        <v>10</v>
      </c>
      <c r="C28" s="25">
        <f t="shared" ref="C28:E28" si="1">++SUM(C15:C26)</f>
        <v>0</v>
      </c>
      <c r="D28" s="25">
        <f t="shared" si="1"/>
        <v>0</v>
      </c>
      <c r="E28" s="26">
        <f t="shared" si="1"/>
        <v>0</v>
      </c>
    </row>
    <row r="45" spans="2:2" x14ac:dyDescent="0.25">
      <c r="B45" s="13"/>
    </row>
    <row r="50" spans="2:5" x14ac:dyDescent="0.25">
      <c r="B50" s="41"/>
      <c r="D50" s="1"/>
      <c r="E50" s="1"/>
    </row>
    <row r="51" spans="2:5" ht="30" customHeight="1" x14ac:dyDescent="0.25">
      <c r="B51" s="41"/>
      <c r="D51" s="2"/>
      <c r="E51" s="3"/>
    </row>
    <row r="70" spans="2:13" ht="15.75" thickBot="1" x14ac:dyDescent="0.3"/>
    <row r="71" spans="2:13" s="31" customFormat="1" ht="22.5" customHeight="1" thickBot="1" x14ac:dyDescent="0.3">
      <c r="B71" s="28" t="s">
        <v>94</v>
      </c>
      <c r="C71" s="29"/>
      <c r="D71" s="29"/>
      <c r="E71" s="30"/>
    </row>
    <row r="72" spans="2:13" ht="15.75" thickBot="1" x14ac:dyDescent="0.3"/>
    <row r="73" spans="2:13" ht="34.5" customHeight="1" x14ac:dyDescent="0.25">
      <c r="B73" s="22" t="s">
        <v>93</v>
      </c>
      <c r="C73" s="23" t="s">
        <v>28</v>
      </c>
      <c r="D73" s="23" t="s">
        <v>1</v>
      </c>
      <c r="E73" s="19" t="s">
        <v>0</v>
      </c>
      <c r="L73" s="40" t="s">
        <v>87</v>
      </c>
      <c r="M73" s="40"/>
    </row>
    <row r="74" spans="2:13" ht="20.25" customHeight="1" x14ac:dyDescent="0.25">
      <c r="B74" s="11" t="s">
        <v>2</v>
      </c>
      <c r="C74" s="4">
        <f>COUNTIFS('Data Source'!$F:$F,C73,'Data Source'!$W:$W,"&lt;15")</f>
        <v>0</v>
      </c>
      <c r="D74" s="4">
        <f>COUNTIFS('Data Source'!$F:$F,D73,'Data Source'!$W:$W,"&lt;15")</f>
        <v>0</v>
      </c>
      <c r="E74" s="32">
        <f>+D74+C74</f>
        <v>0</v>
      </c>
    </row>
    <row r="75" spans="2:13" ht="20.25" customHeight="1" x14ac:dyDescent="0.25">
      <c r="B75" s="11" t="s">
        <v>3</v>
      </c>
      <c r="C75" s="4">
        <f>COUNTIFS('Data Source'!$F:$F,C73,'Data Source'!$W:$W,"&gt;=15",'Data Source'!$W:$W,"&lt;=19")</f>
        <v>0</v>
      </c>
      <c r="D75" s="4">
        <f>COUNTIFS('Data Source'!$F:$F,D73,'Data Source'!$W:$W,"&gt;=15",'Data Source'!$W:$W,"&lt;=19")</f>
        <v>0</v>
      </c>
      <c r="E75" s="32">
        <f t="shared" ref="E75:E82" si="2">+D75+C75</f>
        <v>0</v>
      </c>
    </row>
    <row r="76" spans="2:13" ht="20.25" customHeight="1" x14ac:dyDescent="0.25">
      <c r="B76" s="11" t="s">
        <v>4</v>
      </c>
      <c r="C76" s="4">
        <f>COUNTIFS('Data Source'!$F:$F,C73,'Data Source'!$W:$W,"&gt;=20",'Data Source'!$W:$W,"&lt;=24")</f>
        <v>0</v>
      </c>
      <c r="D76" s="4">
        <f>COUNTIFS('Data Source'!$F:$F,D73,'Data Source'!$W:$W,"&gt;=20",'Data Source'!$W:$W,"&lt;=24")</f>
        <v>0</v>
      </c>
      <c r="E76" s="32">
        <f t="shared" si="2"/>
        <v>0</v>
      </c>
    </row>
    <row r="77" spans="2:13" ht="20.25" customHeight="1" x14ac:dyDescent="0.25">
      <c r="B77" s="11" t="s">
        <v>5</v>
      </c>
      <c r="C77" s="4">
        <f>COUNTIFS('Data Source'!$F:$F,C73,'Data Source'!$W:$W,"&gt;=25",'Data Source'!$W:$W,"&lt;=29")</f>
        <v>0</v>
      </c>
      <c r="D77" s="4">
        <f>COUNTIFS('Data Source'!$F:$F,D73,'Data Source'!$W:$W,"&gt;=25",'Data Source'!$W:$W,"&lt;=29")</f>
        <v>0</v>
      </c>
      <c r="E77" s="32">
        <f t="shared" si="2"/>
        <v>0</v>
      </c>
    </row>
    <row r="78" spans="2:13" ht="20.25" customHeight="1" x14ac:dyDescent="0.25">
      <c r="B78" s="11" t="s">
        <v>6</v>
      </c>
      <c r="C78" s="4">
        <f>COUNTIFS('Data Source'!$F:$F,C73,'Data Source'!$W:$W,"&gt;=30",'Data Source'!$W:$W,"&lt;=34")</f>
        <v>0</v>
      </c>
      <c r="D78" s="4">
        <f>COUNTIFS('Data Source'!$F:$F,D73,'Data Source'!$W:$W,"&gt;=30",'Data Source'!$W:$W,"&lt;=34")</f>
        <v>0</v>
      </c>
      <c r="E78" s="32">
        <f t="shared" si="2"/>
        <v>0</v>
      </c>
    </row>
    <row r="79" spans="2:13" ht="20.25" customHeight="1" x14ac:dyDescent="0.25">
      <c r="B79" s="11" t="s">
        <v>7</v>
      </c>
      <c r="C79" s="4">
        <f>COUNTIFS('Data Source'!$F:$F,C73,'Data Source'!$W:$W,"&gt;=35",'Data Source'!$W:$W,"&lt;=39")</f>
        <v>0</v>
      </c>
      <c r="D79" s="4">
        <f>COUNTIFS('Data Source'!$F:$F,D73,'Data Source'!$W:$W,"&gt;=35",'Data Source'!$W:$W,"&lt;=39")</f>
        <v>0</v>
      </c>
      <c r="E79" s="32">
        <f t="shared" si="2"/>
        <v>0</v>
      </c>
    </row>
    <row r="80" spans="2:13" ht="20.25" customHeight="1" x14ac:dyDescent="0.25">
      <c r="B80" s="11" t="s">
        <v>8</v>
      </c>
      <c r="C80" s="4">
        <f>COUNTIFS('Data Source'!$F:$F,C73,'Data Source'!$W:$W,"&gt;=40",'Data Source'!$W:$W,"&lt;=44")</f>
        <v>0</v>
      </c>
      <c r="D80" s="4">
        <f>COUNTIFS('Data Source'!$F:$F,D73,'Data Source'!$W:$W,"&gt;=40",'Data Source'!$W:$W,"&lt;=44")</f>
        <v>0</v>
      </c>
      <c r="E80" s="32">
        <f t="shared" si="2"/>
        <v>0</v>
      </c>
    </row>
    <row r="81" spans="2:5" ht="20.25" customHeight="1" x14ac:dyDescent="0.25">
      <c r="B81" s="11" t="s">
        <v>9</v>
      </c>
      <c r="C81" s="4">
        <f>COUNTIFS('Data Source'!$F:$F,C73,'Data Source'!$W:$W,"&gt;=45")</f>
        <v>0</v>
      </c>
      <c r="D81" s="4">
        <f>COUNTIFS('Data Source'!$F:$F,D73,'Data Source'!$W:$W,"&gt;=45")</f>
        <v>0</v>
      </c>
      <c r="E81" s="32">
        <f t="shared" si="2"/>
        <v>0</v>
      </c>
    </row>
    <row r="82" spans="2:5" ht="20.25" customHeight="1" x14ac:dyDescent="0.25">
      <c r="B82" s="11" t="s">
        <v>25</v>
      </c>
      <c r="C82" s="4">
        <f>COUNTIFS('Data Source'!$F:$F,C73,'Data Source'!$W:$W,"")</f>
        <v>0</v>
      </c>
      <c r="D82" s="4">
        <f>COUNTIFS('Data Source'!$F:$F,D73,'Data Source'!$W:$W,"")</f>
        <v>0</v>
      </c>
      <c r="E82" s="32">
        <f t="shared" si="2"/>
        <v>0</v>
      </c>
    </row>
    <row r="83" spans="2:5" ht="8.25" customHeight="1" x14ac:dyDescent="0.25">
      <c r="B83" s="12"/>
      <c r="C83" s="7"/>
      <c r="D83" s="8"/>
      <c r="E83" s="21" t="e">
        <f>+#REF!</f>
        <v>#REF!</v>
      </c>
    </row>
    <row r="84" spans="2:5" s="27" customFormat="1" ht="21.75" customHeight="1" thickBot="1" x14ac:dyDescent="0.35">
      <c r="B84" s="24" t="s">
        <v>10</v>
      </c>
      <c r="C84" s="25">
        <f>++SUM(C74:C82)</f>
        <v>0</v>
      </c>
      <c r="D84" s="25">
        <f>++SUM(D74:D82)</f>
        <v>0</v>
      </c>
      <c r="E84" s="26">
        <f t="shared" ref="E84" si="3">++SUM(E74:E82)</f>
        <v>0</v>
      </c>
    </row>
    <row r="105" spans="2:13" ht="15.75" thickBot="1" x14ac:dyDescent="0.3"/>
    <row r="106" spans="2:13" ht="19.5" thickBot="1" x14ac:dyDescent="0.35">
      <c r="B106" s="9" t="s">
        <v>102</v>
      </c>
      <c r="C106" s="10"/>
      <c r="D106" s="10"/>
      <c r="E106" s="37"/>
    </row>
    <row r="107" spans="2:13" ht="15.75" thickBot="1" x14ac:dyDescent="0.3"/>
    <row r="108" spans="2:13" ht="34.5" customHeight="1" x14ac:dyDescent="0.25">
      <c r="B108" s="22" t="s">
        <v>27</v>
      </c>
      <c r="C108" s="23" t="s">
        <v>28</v>
      </c>
      <c r="D108" s="23" t="s">
        <v>1</v>
      </c>
      <c r="E108" s="19" t="s">
        <v>0</v>
      </c>
      <c r="L108" s="40"/>
      <c r="M108" s="40"/>
    </row>
    <row r="109" spans="2:13" ht="20.25" customHeight="1" x14ac:dyDescent="0.25">
      <c r="B109" s="11" t="s">
        <v>26</v>
      </c>
      <c r="C109" s="4">
        <f>++COUNTIFS('Data Source'!$F:$F,'Statistic Reports'!C$108,'Data Source'!$AT:$AT,'Statistic Reports'!$B109)</f>
        <v>0</v>
      </c>
      <c r="D109" s="4">
        <f>++COUNTIFS('Data Source'!$F:$F,'Statistic Reports'!D$108,'Data Source'!$AT:$AT,'Statistic Reports'!$B109)</f>
        <v>0</v>
      </c>
      <c r="E109" s="32">
        <f>++SUM(C109:D109)</f>
        <v>0</v>
      </c>
    </row>
    <row r="110" spans="2:13" ht="20.25" customHeight="1" x14ac:dyDescent="0.25">
      <c r="B110" s="11" t="s">
        <v>92</v>
      </c>
      <c r="C110" s="4">
        <f>++COUNTIFS('Data Source'!$F:$F,'Statistic Reports'!C$108,'Data Source'!$AT:$AT,'Statistic Reports'!$B110)</f>
        <v>0</v>
      </c>
      <c r="D110" s="4">
        <f>++COUNTIFS('Data Source'!$F:$F,'Statistic Reports'!D$108,'Data Source'!$AT:$AT,'Statistic Reports'!$B110)</f>
        <v>0</v>
      </c>
      <c r="E110" s="32">
        <f t="shared" ref="E110:E116" si="4">++SUM(C110:D110)</f>
        <v>0</v>
      </c>
    </row>
    <row r="111" spans="2:13" ht="20.25" customHeight="1" x14ac:dyDescent="0.25">
      <c r="B111" s="11" t="s">
        <v>99</v>
      </c>
      <c r="C111" s="4">
        <f>++COUNTIFS('Data Source'!$F:$F,'Statistic Reports'!C$108,'Data Source'!$AT:$AT,'Statistic Reports'!$B111)</f>
        <v>0</v>
      </c>
      <c r="D111" s="4">
        <f>++COUNTIFS('Data Source'!$F:$F,'Statistic Reports'!D$108,'Data Source'!$AT:$AT,'Statistic Reports'!$B111)</f>
        <v>0</v>
      </c>
      <c r="E111" s="32">
        <f t="shared" si="4"/>
        <v>0</v>
      </c>
    </row>
    <row r="112" spans="2:13" ht="20.25" customHeight="1" x14ac:dyDescent="0.25">
      <c r="B112" s="11" t="s">
        <v>100</v>
      </c>
      <c r="C112" s="4">
        <f>++COUNTIFS('Data Source'!$F:$F,'Statistic Reports'!C$108,'Data Source'!$AT:$AT,'Statistic Reports'!$B112)</f>
        <v>0</v>
      </c>
      <c r="D112" s="4">
        <f>++COUNTIFS('Data Source'!$F:$F,'Statistic Reports'!D$108,'Data Source'!$AT:$AT,'Statistic Reports'!$B112)</f>
        <v>0</v>
      </c>
      <c r="E112" s="32">
        <f t="shared" si="4"/>
        <v>0</v>
      </c>
    </row>
    <row r="113" spans="2:10" ht="20.25" customHeight="1" x14ac:dyDescent="0.25">
      <c r="B113" s="11" t="s">
        <v>89</v>
      </c>
      <c r="C113" s="4">
        <f>++COUNTIFS('Data Source'!$F:$F,'Statistic Reports'!C$108,'Data Source'!$AT:$AT,'Statistic Reports'!$B113)</f>
        <v>0</v>
      </c>
      <c r="D113" s="4">
        <f>++COUNTIFS('Data Source'!$F:$F,'Statistic Reports'!D$108,'Data Source'!$AT:$AT,'Statistic Reports'!$B113)</f>
        <v>0</v>
      </c>
      <c r="E113" s="32">
        <f t="shared" si="4"/>
        <v>0</v>
      </c>
    </row>
    <row r="114" spans="2:10" ht="20.25" customHeight="1" x14ac:dyDescent="0.25">
      <c r="B114" s="11" t="s">
        <v>91</v>
      </c>
      <c r="C114" s="4">
        <f>++COUNTIFS('Data Source'!$F:$F,'Statistic Reports'!C$108,'Data Source'!$AT:$AT,'Statistic Reports'!$B114)</f>
        <v>0</v>
      </c>
      <c r="D114" s="4">
        <f>++COUNTIFS('Data Source'!$F:$F,'Statistic Reports'!D$108,'Data Source'!$AT:$AT,'Statistic Reports'!$B114)</f>
        <v>0</v>
      </c>
      <c r="E114" s="32">
        <f t="shared" si="4"/>
        <v>0</v>
      </c>
    </row>
    <row r="115" spans="2:10" ht="20.25" customHeight="1" x14ac:dyDescent="0.25">
      <c r="B115" s="11" t="s">
        <v>90</v>
      </c>
      <c r="C115" s="4">
        <f>++COUNTIFS('Data Source'!$F:$F,'Statistic Reports'!C$108,'Data Source'!$AT:$AT,'Statistic Reports'!$B115)</f>
        <v>0</v>
      </c>
      <c r="D115" s="4">
        <f>++COUNTIFS('Data Source'!$F:$F,'Statistic Reports'!D$108,'Data Source'!$AT:$AT,'Statistic Reports'!$B115)</f>
        <v>0</v>
      </c>
      <c r="E115" s="32">
        <f t="shared" si="4"/>
        <v>0</v>
      </c>
    </row>
    <row r="116" spans="2:10" ht="20.25" customHeight="1" x14ac:dyDescent="0.25">
      <c r="B116" s="11" t="s">
        <v>101</v>
      </c>
      <c r="C116" s="4">
        <f>++COUNTIFS('Data Source'!$F:$F,'Statistic Reports'!C$108,'Data Source'!$AT:$AT,"")</f>
        <v>0</v>
      </c>
      <c r="D116" s="4">
        <f>++COUNTIFS('Data Source'!$F:$F,'Statistic Reports'!D$108,'Data Source'!$AT:$AT,"")</f>
        <v>0</v>
      </c>
      <c r="E116" s="32">
        <f t="shared" si="4"/>
        <v>0</v>
      </c>
    </row>
    <row r="117" spans="2:10" ht="3.75" customHeight="1" x14ac:dyDescent="0.25">
      <c r="B117" s="12"/>
      <c r="C117" s="7"/>
      <c r="D117" s="8"/>
      <c r="E117" s="21" t="str">
        <f>+E108</f>
        <v>TOTAL</v>
      </c>
    </row>
    <row r="118" spans="2:10" ht="21.75" customHeight="1" thickBot="1" x14ac:dyDescent="0.3">
      <c r="B118" s="33" t="s">
        <v>0</v>
      </c>
      <c r="C118" s="34"/>
      <c r="D118" s="35"/>
      <c r="E118" s="36">
        <f>++SUM(E109:E116)</f>
        <v>0</v>
      </c>
      <c r="J118" s="13"/>
    </row>
    <row r="119" spans="2:10" ht="15.75" thickBot="1" x14ac:dyDescent="0.3"/>
    <row r="120" spans="2:10" ht="15.75" customHeight="1" x14ac:dyDescent="0.25">
      <c r="D120" s="56" t="s">
        <v>123</v>
      </c>
      <c r="E120" s="57"/>
    </row>
    <row r="121" spans="2:10" ht="15.75" thickBot="1" x14ac:dyDescent="0.3">
      <c r="D121" s="58"/>
      <c r="E121" s="59"/>
    </row>
    <row r="122" spans="2:10" x14ac:dyDescent="0.25">
      <c r="D122" s="52" t="s">
        <v>113</v>
      </c>
      <c r="E122" s="53">
        <f>+COUNTIF('Data Source'!$O:$O,'Statistic Reports'!D122)</f>
        <v>0</v>
      </c>
    </row>
    <row r="123" spans="2:10" x14ac:dyDescent="0.25">
      <c r="D123" s="52" t="s">
        <v>115</v>
      </c>
      <c r="E123" s="53">
        <f>+COUNTIF('Data Source'!$O:$O,'Statistic Reports'!D123)</f>
        <v>0</v>
      </c>
    </row>
    <row r="124" spans="2:10" x14ac:dyDescent="0.25">
      <c r="D124" s="52" t="s">
        <v>114</v>
      </c>
      <c r="E124" s="53">
        <f>+COUNTIF('Data Source'!$O:$O,'Statistic Reports'!D124)</f>
        <v>0</v>
      </c>
    </row>
    <row r="125" spans="2:10" x14ac:dyDescent="0.25">
      <c r="D125" s="52" t="s">
        <v>116</v>
      </c>
      <c r="E125" s="53">
        <f>+COUNTIF('Data Source'!$O:$O,'Statistic Reports'!D125)</f>
        <v>0</v>
      </c>
    </row>
    <row r="126" spans="2:10" x14ac:dyDescent="0.25">
      <c r="D126" s="52" t="s">
        <v>117</v>
      </c>
      <c r="E126" s="53">
        <f>+COUNTIF('Data Source'!$O:$O,'Statistic Reports'!D126)</f>
        <v>0</v>
      </c>
    </row>
    <row r="127" spans="2:10" x14ac:dyDescent="0.25">
      <c r="D127" s="52" t="s">
        <v>118</v>
      </c>
      <c r="E127" s="53">
        <f>+COUNTIF('Data Source'!$O:$O,'Statistic Reports'!D127)</f>
        <v>0</v>
      </c>
    </row>
    <row r="128" spans="2:10" x14ac:dyDescent="0.25">
      <c r="D128" s="52" t="s">
        <v>119</v>
      </c>
      <c r="E128" s="53">
        <f>+COUNTIF('Data Source'!$O:$O,'Statistic Reports'!D128)</f>
        <v>0</v>
      </c>
    </row>
    <row r="129" spans="3:5" x14ac:dyDescent="0.25">
      <c r="D129" s="52" t="s">
        <v>120</v>
      </c>
      <c r="E129" s="53">
        <f>+COUNTIF('Data Source'!$O:$O,'Statistic Reports'!D129)</f>
        <v>0</v>
      </c>
    </row>
    <row r="130" spans="3:5" x14ac:dyDescent="0.25">
      <c r="D130" s="52" t="s">
        <v>121</v>
      </c>
      <c r="E130" s="53">
        <f>+COUNTIF('Data Source'!$O:$O,'Statistic Reports'!D130)</f>
        <v>0</v>
      </c>
    </row>
    <row r="131" spans="3:5" x14ac:dyDescent="0.25">
      <c r="D131" s="52" t="s">
        <v>122</v>
      </c>
      <c r="E131" s="53">
        <f>+COUNTIF('Data Source'!$O:$O,'Statistic Reports'!D131)</f>
        <v>0</v>
      </c>
    </row>
    <row r="132" spans="3:5" ht="15.75" thickBot="1" x14ac:dyDescent="0.3">
      <c r="D132" s="54"/>
      <c r="E132" s="55"/>
    </row>
    <row r="133" spans="3:5" ht="16.5" thickBot="1" x14ac:dyDescent="0.3">
      <c r="D133" s="60" t="s">
        <v>124</v>
      </c>
      <c r="E133" s="61">
        <f>++SUM(E122:E131)</f>
        <v>0</v>
      </c>
    </row>
    <row r="137" spans="3:5" x14ac:dyDescent="0.25">
      <c r="C137" s="6"/>
      <c r="D137" s="6"/>
      <c r="E137" s="6"/>
    </row>
    <row r="138" spans="3:5" x14ac:dyDescent="0.25">
      <c r="C138" s="6"/>
      <c r="D138" s="6"/>
      <c r="E138" s="6"/>
    </row>
    <row r="139" spans="3:5" x14ac:dyDescent="0.25">
      <c r="C139" s="6"/>
      <c r="D139" s="6"/>
      <c r="E139" s="6"/>
    </row>
    <row r="140" spans="3:5" x14ac:dyDescent="0.25">
      <c r="C140" s="6"/>
      <c r="D140" s="6"/>
      <c r="E140" s="6"/>
    </row>
    <row r="141" spans="3:5" x14ac:dyDescent="0.25">
      <c r="C141" s="6"/>
      <c r="D141" s="6"/>
      <c r="E141" s="6"/>
    </row>
    <row r="142" spans="3:5" x14ac:dyDescent="0.25">
      <c r="C142" s="6"/>
      <c r="D142" s="6"/>
      <c r="E142" s="6"/>
    </row>
    <row r="143" spans="3:5" x14ac:dyDescent="0.25">
      <c r="C143" s="6"/>
      <c r="D143" s="6"/>
      <c r="E143" s="6"/>
    </row>
    <row r="144" spans="3:5" x14ac:dyDescent="0.25">
      <c r="C144" s="6"/>
      <c r="D144" s="6"/>
      <c r="E144" s="6"/>
    </row>
    <row r="145" spans="3:5" x14ac:dyDescent="0.25">
      <c r="C145" s="6"/>
      <c r="D145" s="6"/>
      <c r="E145" s="6"/>
    </row>
    <row r="146" spans="3:5" x14ac:dyDescent="0.25">
      <c r="C146" s="6"/>
      <c r="D146" s="6"/>
      <c r="E146" s="6"/>
    </row>
    <row r="147" spans="3:5" x14ac:dyDescent="0.25">
      <c r="C147" s="6"/>
      <c r="D147" s="6"/>
      <c r="E147" s="6"/>
    </row>
    <row r="148" spans="3:5" x14ac:dyDescent="0.25">
      <c r="C148" s="6"/>
      <c r="D148" s="6"/>
      <c r="E148" s="6"/>
    </row>
    <row r="149" spans="3:5" ht="9" customHeight="1" x14ac:dyDescent="0.25">
      <c r="C149" s="6"/>
      <c r="D149" s="6"/>
      <c r="E149" s="6"/>
    </row>
    <row r="150" spans="3:5" x14ac:dyDescent="0.25">
      <c r="C150" s="6"/>
      <c r="D150" s="6"/>
      <c r="E150" s="6"/>
    </row>
    <row r="151" spans="3:5" x14ac:dyDescent="0.25">
      <c r="C151" s="6"/>
      <c r="D151" s="6"/>
      <c r="E151" s="6"/>
    </row>
    <row r="152" spans="3:5" x14ac:dyDescent="0.25">
      <c r="C152" s="6"/>
      <c r="D152" s="6"/>
      <c r="E152" s="6"/>
    </row>
    <row r="153" spans="3:5" x14ac:dyDescent="0.25">
      <c r="C153" s="6"/>
      <c r="D153" s="6"/>
      <c r="E153" s="6"/>
    </row>
    <row r="154" spans="3:5" x14ac:dyDescent="0.25">
      <c r="C154" s="6"/>
      <c r="D154" s="6"/>
      <c r="E154" s="6"/>
    </row>
    <row r="155" spans="3:5" x14ac:dyDescent="0.25">
      <c r="C155" s="6"/>
      <c r="D155" s="6"/>
      <c r="E155" s="6"/>
    </row>
    <row r="156" spans="3:5" x14ac:dyDescent="0.25">
      <c r="C156" s="6"/>
      <c r="D156" s="6"/>
      <c r="E156" s="6"/>
    </row>
    <row r="157" spans="3:5" x14ac:dyDescent="0.25">
      <c r="C157" s="6"/>
      <c r="D157" s="6"/>
      <c r="E157" s="6"/>
    </row>
    <row r="158" spans="3:5" x14ac:dyDescent="0.25">
      <c r="C158" s="6"/>
      <c r="D158" s="6"/>
      <c r="E158" s="6"/>
    </row>
    <row r="159" spans="3:5" x14ac:dyDescent="0.25">
      <c r="C159" s="6"/>
      <c r="D159" s="6"/>
      <c r="E159" s="6"/>
    </row>
    <row r="160" spans="3:5" x14ac:dyDescent="0.25">
      <c r="C160" s="6"/>
      <c r="D160" s="6"/>
      <c r="E160" s="6"/>
    </row>
    <row r="161" spans="3:5" x14ac:dyDescent="0.25">
      <c r="C161" s="6"/>
      <c r="D161" s="6"/>
      <c r="E161" s="6"/>
    </row>
    <row r="162" spans="3:5" x14ac:dyDescent="0.25">
      <c r="C162" s="6"/>
      <c r="D162" s="6"/>
      <c r="E162" s="6"/>
    </row>
    <row r="163" spans="3:5" x14ac:dyDescent="0.25">
      <c r="C163" s="6"/>
      <c r="D163" s="6"/>
      <c r="E163" s="6"/>
    </row>
    <row r="164" spans="3:5" x14ac:dyDescent="0.25">
      <c r="C164" s="6"/>
      <c r="D164" s="6"/>
      <c r="E164" s="6"/>
    </row>
    <row r="165" spans="3:5" x14ac:dyDescent="0.25">
      <c r="C165" s="6"/>
      <c r="D165" s="6"/>
      <c r="E165" s="6"/>
    </row>
    <row r="166" spans="3:5" x14ac:dyDescent="0.25">
      <c r="C166" s="6"/>
      <c r="D166" s="6"/>
      <c r="E166" s="6"/>
    </row>
    <row r="167" spans="3:5" x14ac:dyDescent="0.25">
      <c r="C167" s="6"/>
      <c r="D167" s="6"/>
      <c r="E167" s="6"/>
    </row>
    <row r="168" spans="3:5" x14ac:dyDescent="0.25">
      <c r="C168" s="6"/>
      <c r="D168" s="6"/>
      <c r="E168" s="6"/>
    </row>
    <row r="169" spans="3:5" x14ac:dyDescent="0.25">
      <c r="C169" s="6"/>
      <c r="D169" s="6"/>
      <c r="E169" s="6"/>
    </row>
    <row r="170" spans="3:5" x14ac:dyDescent="0.25">
      <c r="C170" s="6"/>
      <c r="D170" s="6"/>
      <c r="E170" s="6"/>
    </row>
    <row r="171" spans="3:5" x14ac:dyDescent="0.25">
      <c r="C171" s="6"/>
      <c r="D171" s="6"/>
      <c r="E171" s="6"/>
    </row>
    <row r="172" spans="3:5" x14ac:dyDescent="0.25">
      <c r="C172" s="6"/>
      <c r="D172" s="6"/>
      <c r="E172" s="6"/>
    </row>
    <row r="173" spans="3:5" x14ac:dyDescent="0.25">
      <c r="C173" s="6"/>
      <c r="D173" s="6"/>
      <c r="E173" s="6"/>
    </row>
    <row r="174" spans="3:5" x14ac:dyDescent="0.25">
      <c r="C174" s="6"/>
      <c r="D174" s="6"/>
      <c r="E174" s="6"/>
    </row>
    <row r="175" spans="3:5" x14ac:dyDescent="0.25">
      <c r="C175" s="6"/>
      <c r="D175" s="6"/>
      <c r="E175" s="6"/>
    </row>
    <row r="176" spans="3:5" x14ac:dyDescent="0.25">
      <c r="C176" s="6"/>
      <c r="D176" s="6"/>
      <c r="E176" s="6"/>
    </row>
    <row r="177" spans="3:5" x14ac:dyDescent="0.25">
      <c r="C177" s="6"/>
      <c r="D177" s="6"/>
      <c r="E177" s="6"/>
    </row>
    <row r="178" spans="3:5" x14ac:dyDescent="0.25">
      <c r="C178" s="6"/>
      <c r="D178" s="6"/>
      <c r="E178" s="6"/>
    </row>
    <row r="179" spans="3:5" x14ac:dyDescent="0.25">
      <c r="C179" s="6"/>
      <c r="D179" s="6"/>
      <c r="E179" s="6"/>
    </row>
    <row r="180" spans="3:5" x14ac:dyDescent="0.25">
      <c r="C180" s="6"/>
      <c r="D180" s="6"/>
      <c r="E180" s="6"/>
    </row>
    <row r="181" spans="3:5" x14ac:dyDescent="0.25">
      <c r="C181" s="6"/>
      <c r="D181" s="6"/>
      <c r="E181" s="6"/>
    </row>
    <row r="182" spans="3:5" x14ac:dyDescent="0.25">
      <c r="C182" s="6"/>
      <c r="D182" s="6"/>
      <c r="E182" s="6"/>
    </row>
    <row r="183" spans="3:5" x14ac:dyDescent="0.25">
      <c r="C183" s="6"/>
      <c r="D183" s="6"/>
      <c r="E183" s="6"/>
    </row>
    <row r="184" spans="3:5" x14ac:dyDescent="0.25">
      <c r="C184" s="6"/>
      <c r="D184" s="6"/>
      <c r="E184" s="6"/>
    </row>
    <row r="185" spans="3:5" x14ac:dyDescent="0.25">
      <c r="C185" s="6"/>
      <c r="D185" s="6"/>
      <c r="E185" s="6"/>
    </row>
    <row r="186" spans="3:5" x14ac:dyDescent="0.25">
      <c r="C186" s="6"/>
      <c r="D186" s="6"/>
      <c r="E186" s="6"/>
    </row>
    <row r="187" spans="3:5" x14ac:dyDescent="0.25">
      <c r="C187" s="6"/>
      <c r="D187" s="6"/>
      <c r="E187" s="6"/>
    </row>
    <row r="188" spans="3:5" x14ac:dyDescent="0.25">
      <c r="C188" s="6"/>
      <c r="D188" s="6"/>
      <c r="E188" s="6"/>
    </row>
    <row r="189" spans="3:5" x14ac:dyDescent="0.25">
      <c r="C189" s="6"/>
      <c r="D189" s="6"/>
      <c r="E189" s="6"/>
    </row>
  </sheetData>
  <mergeCells count="14">
    <mergeCell ref="D120:E121"/>
    <mergeCell ref="L108:M108"/>
    <mergeCell ref="B50:B51"/>
    <mergeCell ref="B1:E1"/>
    <mergeCell ref="B2:E2"/>
    <mergeCell ref="B3:E3"/>
    <mergeCell ref="B4:E4"/>
    <mergeCell ref="B5:E5"/>
    <mergeCell ref="L73:M73"/>
    <mergeCell ref="L13:M13"/>
    <mergeCell ref="L14:M14"/>
    <mergeCell ref="B6:E6"/>
    <mergeCell ref="B7:E7"/>
    <mergeCell ref="B9:E10"/>
  </mergeCells>
  <printOptions horizontalCentered="1"/>
  <pageMargins left="0.39370078740157483" right="0.39370078740157483" top="0.31496062992125984" bottom="1.5" header="0.19685039370078741" footer="0.31496062992125984"/>
  <pageSetup paperSize="5" scale="72" orientation="portrait" horizontalDpi="1200" verticalDpi="1200" r:id="rId1"/>
  <rowBreaks count="1" manualBreakCount="1">
    <brk id="69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P13"/>
  <sheetViews>
    <sheetView showGridLines="0" view="pageBreakPreview" zoomScaleNormal="100" zoomScaleSheetLayoutView="100" workbookViewId="0">
      <selection activeCell="P51" sqref="P51"/>
    </sheetView>
  </sheetViews>
  <sheetFormatPr defaultRowHeight="15" x14ac:dyDescent="0.25"/>
  <cols>
    <col min="1" max="1" width="2.140625" customWidth="1"/>
    <col min="2" max="2" width="6.28515625" customWidth="1"/>
    <col min="3" max="3" width="29.140625" customWidth="1"/>
    <col min="4" max="4" width="26.42578125" customWidth="1"/>
    <col min="5" max="5" width="27.5703125" customWidth="1"/>
    <col min="6" max="8" width="10.7109375" customWidth="1"/>
    <col min="9" max="9" width="1.5703125" customWidth="1"/>
    <col min="10" max="10" width="2.7109375" customWidth="1"/>
  </cols>
  <sheetData>
    <row r="1" spans="2:16" x14ac:dyDescent="0.25">
      <c r="C1" s="42"/>
      <c r="D1" s="42"/>
      <c r="E1" s="42"/>
      <c r="F1" s="42"/>
      <c r="G1" s="42"/>
      <c r="H1" s="42"/>
    </row>
    <row r="2" spans="2:16" x14ac:dyDescent="0.25">
      <c r="B2" s="43" t="s">
        <v>97</v>
      </c>
      <c r="C2" s="43"/>
      <c r="D2" s="43"/>
      <c r="E2" s="43"/>
      <c r="F2" s="43"/>
      <c r="G2" s="43"/>
      <c r="H2" s="43"/>
    </row>
    <row r="3" spans="2:16" x14ac:dyDescent="0.25">
      <c r="C3" s="43"/>
      <c r="D3" s="43"/>
      <c r="E3" s="43"/>
      <c r="F3" s="43"/>
      <c r="G3" s="43"/>
      <c r="H3" s="43"/>
    </row>
    <row r="4" spans="2:16" x14ac:dyDescent="0.25">
      <c r="B4" s="43" t="s">
        <v>98</v>
      </c>
      <c r="C4" s="43"/>
      <c r="D4" s="43"/>
      <c r="E4" s="43"/>
      <c r="F4" s="43"/>
      <c r="G4" s="43"/>
      <c r="H4" s="43"/>
    </row>
    <row r="5" spans="2:16" x14ac:dyDescent="0.25">
      <c r="C5" s="42"/>
      <c r="D5" s="42"/>
      <c r="E5" s="42"/>
      <c r="F5" s="42"/>
      <c r="G5" s="42"/>
      <c r="H5" s="42"/>
    </row>
    <row r="6" spans="2:16" ht="15.75" thickBot="1" x14ac:dyDescent="0.3">
      <c r="B6" s="44"/>
      <c r="C6" s="44"/>
      <c r="D6" s="44"/>
      <c r="E6" s="44"/>
      <c r="F6" s="44"/>
      <c r="G6" s="44"/>
      <c r="H6" s="44"/>
    </row>
    <row r="7" spans="2:16" ht="8.25" customHeight="1" thickTop="1" x14ac:dyDescent="0.25"/>
    <row r="8" spans="2:16" ht="15" customHeight="1" x14ac:dyDescent="0.25">
      <c r="B8" s="45" t="s">
        <v>111</v>
      </c>
      <c r="C8" s="45"/>
      <c r="D8" s="45"/>
      <c r="E8" s="45"/>
      <c r="F8" s="45"/>
      <c r="G8" s="45"/>
      <c r="H8" s="45"/>
    </row>
    <row r="9" spans="2:16" ht="15" customHeight="1" x14ac:dyDescent="0.25">
      <c r="B9" s="45"/>
      <c r="C9" s="45"/>
      <c r="D9" s="45"/>
      <c r="E9" s="45"/>
      <c r="F9" s="45"/>
      <c r="G9" s="45"/>
      <c r="H9" s="45"/>
    </row>
    <row r="10" spans="2:16" ht="15.75" thickBot="1" x14ac:dyDescent="0.3"/>
    <row r="11" spans="2:16" s="31" customFormat="1" ht="22.5" customHeight="1" thickBot="1" x14ac:dyDescent="0.3">
      <c r="B11" s="46" t="s">
        <v>103</v>
      </c>
      <c r="C11" s="47"/>
      <c r="D11" s="47"/>
      <c r="E11" s="47"/>
      <c r="F11" s="47"/>
      <c r="G11" s="47"/>
      <c r="H11" s="48"/>
    </row>
    <row r="12" spans="2:16" ht="15.75" thickBot="1" x14ac:dyDescent="0.3">
      <c r="O12" s="42"/>
      <c r="P12" s="42"/>
    </row>
    <row r="13" spans="2:16" ht="34.5" customHeight="1" thickBot="1" x14ac:dyDescent="0.3">
      <c r="B13" s="38" t="s">
        <v>107</v>
      </c>
      <c r="C13" s="38" t="s">
        <v>104</v>
      </c>
      <c r="D13" s="38" t="s">
        <v>105</v>
      </c>
      <c r="E13" s="38" t="s">
        <v>106</v>
      </c>
      <c r="F13" s="39" t="s">
        <v>28</v>
      </c>
      <c r="G13" s="38" t="s">
        <v>88</v>
      </c>
      <c r="H13" s="38" t="s">
        <v>0</v>
      </c>
      <c r="M13" s="40"/>
      <c r="N13" s="40"/>
    </row>
  </sheetData>
  <mergeCells count="10">
    <mergeCell ref="M13:N13"/>
    <mergeCell ref="B11:H11"/>
    <mergeCell ref="B8:H9"/>
    <mergeCell ref="O12:P12"/>
    <mergeCell ref="B6:H6"/>
    <mergeCell ref="C1:H1"/>
    <mergeCell ref="C3:H3"/>
    <mergeCell ref="C5:H5"/>
    <mergeCell ref="B4:H4"/>
    <mergeCell ref="B2:H2"/>
  </mergeCells>
  <printOptions horizontalCentered="1"/>
  <pageMargins left="0.39370078740157483" right="0.39370078740157483" top="0.31496062992125984" bottom="0.39370078740157483" header="0.19685039370078741" footer="0.31496062992125984"/>
  <pageSetup paperSize="5" scale="78"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955"/>
  <sheetViews>
    <sheetView showGridLines="0" view="pageBreakPreview" topLeftCell="A112" zoomScale="115" zoomScaleNormal="100" zoomScaleSheetLayoutView="115" workbookViewId="0">
      <selection activeCell="L135" sqref="L135"/>
    </sheetView>
  </sheetViews>
  <sheetFormatPr defaultRowHeight="15" x14ac:dyDescent="0.25"/>
  <cols>
    <col min="1" max="1" width="2.140625" customWidth="1"/>
    <col min="2" max="2" width="6.28515625" customWidth="1"/>
    <col min="3" max="3" width="5.42578125" customWidth="1"/>
    <col min="4" max="4" width="13" customWidth="1"/>
    <col min="5" max="5" width="26.42578125" customWidth="1"/>
    <col min="6" max="6" width="45" customWidth="1"/>
    <col min="7" max="7" width="10.7109375" customWidth="1"/>
    <col min="8" max="8" width="1.5703125" customWidth="1"/>
    <col min="9" max="9" width="2.7109375" customWidth="1"/>
  </cols>
  <sheetData>
    <row r="1" spans="2:15" x14ac:dyDescent="0.25">
      <c r="C1" s="42"/>
      <c r="D1" s="42"/>
      <c r="E1" s="42"/>
      <c r="F1" s="42"/>
      <c r="G1" s="42"/>
    </row>
    <row r="2" spans="2:15" x14ac:dyDescent="0.25">
      <c r="B2" s="43" t="s">
        <v>97</v>
      </c>
      <c r="C2" s="43"/>
      <c r="D2" s="43"/>
      <c r="E2" s="43"/>
      <c r="F2" s="43"/>
      <c r="G2" s="43"/>
    </row>
    <row r="3" spans="2:15" x14ac:dyDescent="0.25">
      <c r="C3" s="43"/>
      <c r="D3" s="43"/>
      <c r="E3" s="43"/>
      <c r="F3" s="43"/>
      <c r="G3" s="43"/>
    </row>
    <row r="4" spans="2:15" x14ac:dyDescent="0.25">
      <c r="B4" s="43" t="s">
        <v>98</v>
      </c>
      <c r="C4" s="43"/>
      <c r="D4" s="43"/>
      <c r="E4" s="43"/>
      <c r="F4" s="43"/>
      <c r="G4" s="43"/>
    </row>
    <row r="5" spans="2:15" x14ac:dyDescent="0.25">
      <c r="C5" s="42"/>
      <c r="D5" s="42"/>
      <c r="E5" s="42"/>
      <c r="F5" s="42"/>
      <c r="G5" s="42"/>
    </row>
    <row r="6" spans="2:15" ht="15.75" thickBot="1" x14ac:dyDescent="0.3">
      <c r="B6" s="44"/>
      <c r="C6" s="44"/>
      <c r="D6" s="44"/>
      <c r="E6" s="44"/>
      <c r="F6" s="44"/>
      <c r="G6" s="44"/>
    </row>
    <row r="7" spans="2:15" ht="8.25" customHeight="1" thickTop="1" x14ac:dyDescent="0.25"/>
    <row r="8" spans="2:15" ht="15" customHeight="1" x14ac:dyDescent="0.25">
      <c r="B8" s="45" t="s">
        <v>110</v>
      </c>
      <c r="C8" s="45"/>
      <c r="D8" s="45"/>
      <c r="E8" s="45"/>
      <c r="F8" s="45"/>
      <c r="G8" s="45"/>
    </row>
    <row r="9" spans="2:15" ht="15" customHeight="1" x14ac:dyDescent="0.25">
      <c r="B9" s="45"/>
      <c r="C9" s="45"/>
      <c r="D9" s="45"/>
      <c r="E9" s="45"/>
      <c r="F9" s="45"/>
      <c r="G9" s="45"/>
    </row>
    <row r="10" spans="2:15" ht="15.75" thickBot="1" x14ac:dyDescent="0.3"/>
    <row r="11" spans="2:15" s="31" customFormat="1" ht="22.5" customHeight="1" thickBot="1" x14ac:dyDescent="0.3">
      <c r="B11" s="46" t="s">
        <v>112</v>
      </c>
      <c r="C11" s="47"/>
      <c r="D11" s="47"/>
      <c r="E11" s="47"/>
      <c r="F11" s="47"/>
      <c r="G11" s="48"/>
    </row>
    <row r="12" spans="2:15" s="31" customFormat="1" ht="8.25" customHeight="1" x14ac:dyDescent="0.25"/>
    <row r="13" spans="2:15" ht="15.75" thickBot="1" x14ac:dyDescent="0.3">
      <c r="N13" s="42"/>
      <c r="O13" s="42"/>
    </row>
    <row r="14" spans="2:15" ht="34.5" customHeight="1" thickBot="1" x14ac:dyDescent="0.3">
      <c r="B14" s="38" t="s">
        <v>107</v>
      </c>
      <c r="C14" s="49" t="s">
        <v>108</v>
      </c>
      <c r="D14" s="50"/>
      <c r="E14" s="51"/>
      <c r="F14" s="38" t="s">
        <v>109</v>
      </c>
      <c r="G14" s="38" t="s">
        <v>0</v>
      </c>
      <c r="L14" s="40"/>
      <c r="M14" s="40"/>
    </row>
    <row r="16" spans="2:15" ht="15" customHeight="1" x14ac:dyDescent="0.25"/>
    <row r="17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7" ht="15" customHeight="1" x14ac:dyDescent="0.25"/>
    <row r="139" ht="15" customHeight="1" x14ac:dyDescent="0.25"/>
    <row r="140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1" ht="15" customHeight="1" x14ac:dyDescent="0.25"/>
    <row r="452" ht="15" customHeight="1" x14ac:dyDescent="0.25"/>
    <row r="453" ht="15" customHeight="1" x14ac:dyDescent="0.25"/>
    <row r="454" ht="15" customHeight="1" x14ac:dyDescent="0.25"/>
    <row r="455" ht="15" customHeight="1" x14ac:dyDescent="0.25"/>
    <row r="456" ht="15" customHeight="1" x14ac:dyDescent="0.25"/>
    <row r="457" ht="15" customHeight="1" x14ac:dyDescent="0.25"/>
    <row r="458" ht="15" customHeight="1" x14ac:dyDescent="0.25"/>
    <row r="459" ht="15" customHeight="1" x14ac:dyDescent="0.25"/>
    <row r="460" ht="15" customHeight="1" x14ac:dyDescent="0.25"/>
    <row r="461" ht="15" customHeight="1" x14ac:dyDescent="0.25"/>
    <row r="462" ht="15" customHeight="1" x14ac:dyDescent="0.25"/>
    <row r="463" ht="15" customHeight="1" x14ac:dyDescent="0.25"/>
    <row r="464" ht="15" customHeight="1" x14ac:dyDescent="0.25"/>
    <row r="465" ht="15" customHeight="1" x14ac:dyDescent="0.25"/>
    <row r="466" ht="15" customHeight="1" x14ac:dyDescent="0.25"/>
    <row r="467" ht="15" customHeight="1" x14ac:dyDescent="0.25"/>
    <row r="468" ht="15" customHeight="1" x14ac:dyDescent="0.25"/>
    <row r="469" ht="15" customHeight="1" x14ac:dyDescent="0.25"/>
    <row r="470" ht="15" customHeight="1" x14ac:dyDescent="0.25"/>
    <row r="471" ht="15" customHeight="1" x14ac:dyDescent="0.25"/>
    <row r="472" ht="15" customHeight="1" x14ac:dyDescent="0.25"/>
    <row r="473" ht="15" customHeight="1" x14ac:dyDescent="0.25"/>
    <row r="474" ht="15" customHeight="1" x14ac:dyDescent="0.25"/>
    <row r="475" ht="15" customHeight="1" x14ac:dyDescent="0.25"/>
    <row r="476" ht="15" customHeight="1" x14ac:dyDescent="0.25"/>
    <row r="477" ht="15" customHeight="1" x14ac:dyDescent="0.25"/>
    <row r="478" ht="15" customHeight="1" x14ac:dyDescent="0.25"/>
    <row r="479" ht="15" customHeight="1" x14ac:dyDescent="0.25"/>
    <row r="480" ht="15" customHeight="1" x14ac:dyDescent="0.25"/>
    <row r="481" ht="15" customHeight="1" x14ac:dyDescent="0.25"/>
    <row r="482" ht="15" customHeight="1" x14ac:dyDescent="0.25"/>
    <row r="483" ht="15" customHeight="1" x14ac:dyDescent="0.25"/>
    <row r="484" ht="15" customHeight="1" x14ac:dyDescent="0.25"/>
    <row r="485" ht="15" customHeight="1" x14ac:dyDescent="0.25"/>
    <row r="486" ht="15" customHeight="1" x14ac:dyDescent="0.25"/>
    <row r="487" ht="15" customHeight="1" x14ac:dyDescent="0.25"/>
    <row r="488" ht="15" customHeight="1" x14ac:dyDescent="0.25"/>
    <row r="489" ht="15" customHeight="1" x14ac:dyDescent="0.25"/>
    <row r="490" ht="15" customHeight="1" x14ac:dyDescent="0.25"/>
    <row r="491" ht="15" customHeight="1" x14ac:dyDescent="0.25"/>
    <row r="492" ht="15" customHeight="1" x14ac:dyDescent="0.25"/>
    <row r="493" ht="15" customHeight="1" x14ac:dyDescent="0.25"/>
    <row r="494" ht="15" customHeight="1" x14ac:dyDescent="0.25"/>
    <row r="495" ht="15" customHeight="1" x14ac:dyDescent="0.25"/>
    <row r="496" ht="15" customHeight="1" x14ac:dyDescent="0.25"/>
    <row r="497" ht="15" customHeight="1" x14ac:dyDescent="0.25"/>
    <row r="498" ht="15" customHeight="1" x14ac:dyDescent="0.25"/>
    <row r="499" ht="15" customHeight="1" x14ac:dyDescent="0.25"/>
    <row r="500" ht="15" customHeight="1" x14ac:dyDescent="0.25"/>
    <row r="501" ht="15" customHeight="1" x14ac:dyDescent="0.25"/>
    <row r="502" ht="15" customHeight="1" x14ac:dyDescent="0.25"/>
    <row r="503" ht="15" customHeight="1" x14ac:dyDescent="0.25"/>
    <row r="504" ht="15" customHeight="1" x14ac:dyDescent="0.25"/>
    <row r="505" ht="15" customHeight="1" x14ac:dyDescent="0.25"/>
    <row r="506" ht="15" customHeight="1" x14ac:dyDescent="0.25"/>
    <row r="507" ht="15" customHeight="1" x14ac:dyDescent="0.25"/>
    <row r="508" ht="15" customHeight="1" x14ac:dyDescent="0.25"/>
    <row r="509" ht="15" customHeight="1" x14ac:dyDescent="0.25"/>
    <row r="510" ht="15" customHeight="1" x14ac:dyDescent="0.25"/>
    <row r="511" ht="15" customHeight="1" x14ac:dyDescent="0.25"/>
    <row r="512" ht="15" customHeight="1" x14ac:dyDescent="0.25"/>
    <row r="513" ht="15" customHeight="1" x14ac:dyDescent="0.25"/>
    <row r="514" ht="15" customHeight="1" x14ac:dyDescent="0.25"/>
    <row r="515" ht="15" customHeight="1" x14ac:dyDescent="0.25"/>
    <row r="516" ht="15" customHeight="1" x14ac:dyDescent="0.25"/>
    <row r="517" ht="15" customHeight="1" x14ac:dyDescent="0.25"/>
    <row r="518" ht="15" customHeight="1" x14ac:dyDescent="0.25"/>
    <row r="519" ht="15" customHeight="1" x14ac:dyDescent="0.25"/>
    <row r="520" ht="15" customHeight="1" x14ac:dyDescent="0.25"/>
    <row r="521" ht="15" customHeight="1" x14ac:dyDescent="0.25"/>
    <row r="522" ht="15" customHeight="1" x14ac:dyDescent="0.25"/>
    <row r="523" ht="15" customHeight="1" x14ac:dyDescent="0.25"/>
    <row r="524" ht="15" customHeight="1" x14ac:dyDescent="0.25"/>
    <row r="525" ht="15" customHeight="1" x14ac:dyDescent="0.25"/>
    <row r="526" ht="15" customHeight="1" x14ac:dyDescent="0.25"/>
    <row r="527" ht="15" customHeight="1" x14ac:dyDescent="0.25"/>
    <row r="528" ht="15" customHeight="1" x14ac:dyDescent="0.25"/>
    <row r="529" ht="15" customHeight="1" x14ac:dyDescent="0.25"/>
    <row r="530" ht="15" customHeight="1" x14ac:dyDescent="0.25"/>
    <row r="531" ht="15" customHeight="1" x14ac:dyDescent="0.25"/>
    <row r="532" ht="15" customHeight="1" x14ac:dyDescent="0.25"/>
    <row r="533" ht="15" customHeight="1" x14ac:dyDescent="0.25"/>
    <row r="534" ht="15" customHeight="1" x14ac:dyDescent="0.25"/>
    <row r="535" ht="15" customHeight="1" x14ac:dyDescent="0.25"/>
    <row r="536" ht="15" customHeight="1" x14ac:dyDescent="0.25"/>
    <row r="537" ht="15" customHeight="1" x14ac:dyDescent="0.25"/>
    <row r="538" ht="15" customHeight="1" x14ac:dyDescent="0.25"/>
    <row r="539" ht="15" customHeight="1" x14ac:dyDescent="0.25"/>
    <row r="540" ht="15" customHeight="1" x14ac:dyDescent="0.25"/>
    <row r="541" ht="15" customHeight="1" x14ac:dyDescent="0.25"/>
    <row r="542" ht="15" customHeight="1" x14ac:dyDescent="0.25"/>
    <row r="543" ht="15" customHeight="1" x14ac:dyDescent="0.25"/>
    <row r="544" ht="15" customHeight="1" x14ac:dyDescent="0.25"/>
    <row r="545" ht="15" customHeight="1" x14ac:dyDescent="0.25"/>
    <row r="546" ht="15" customHeight="1" x14ac:dyDescent="0.25"/>
    <row r="547" ht="15" customHeight="1" x14ac:dyDescent="0.25"/>
    <row r="548" ht="15" customHeight="1" x14ac:dyDescent="0.25"/>
    <row r="549" ht="15" customHeight="1" x14ac:dyDescent="0.25"/>
    <row r="550" ht="15" customHeight="1" x14ac:dyDescent="0.25"/>
    <row r="551" ht="15" customHeight="1" x14ac:dyDescent="0.25"/>
    <row r="552" ht="15" customHeight="1" x14ac:dyDescent="0.25"/>
    <row r="553" ht="15" customHeight="1" x14ac:dyDescent="0.25"/>
    <row r="554" ht="15" customHeight="1" x14ac:dyDescent="0.25"/>
    <row r="555" ht="15" customHeight="1" x14ac:dyDescent="0.25"/>
    <row r="556" ht="15" customHeight="1" x14ac:dyDescent="0.25"/>
    <row r="557" ht="15" customHeight="1" x14ac:dyDescent="0.25"/>
    <row r="558" ht="15" customHeight="1" x14ac:dyDescent="0.25"/>
    <row r="559" ht="15" customHeight="1" x14ac:dyDescent="0.25"/>
    <row r="560" ht="15" customHeight="1" x14ac:dyDescent="0.25"/>
    <row r="561" ht="15" customHeight="1" x14ac:dyDescent="0.25"/>
    <row r="562" ht="15" customHeight="1" x14ac:dyDescent="0.25"/>
    <row r="563" ht="15" customHeight="1" x14ac:dyDescent="0.25"/>
    <row r="564" ht="15" customHeight="1" x14ac:dyDescent="0.25"/>
    <row r="565" ht="15" customHeight="1" x14ac:dyDescent="0.25"/>
    <row r="566" ht="15" customHeight="1" x14ac:dyDescent="0.25"/>
    <row r="567" ht="15" customHeight="1" x14ac:dyDescent="0.25"/>
    <row r="568" ht="15" customHeight="1" x14ac:dyDescent="0.25"/>
    <row r="569" ht="15" customHeight="1" x14ac:dyDescent="0.25"/>
    <row r="570" ht="15" customHeight="1" x14ac:dyDescent="0.25"/>
    <row r="571" ht="15" customHeight="1" x14ac:dyDescent="0.25"/>
    <row r="572" ht="15" customHeight="1" x14ac:dyDescent="0.25"/>
    <row r="573" ht="15" customHeight="1" x14ac:dyDescent="0.25"/>
    <row r="574" ht="15" customHeight="1" x14ac:dyDescent="0.25"/>
    <row r="575" ht="15" customHeight="1" x14ac:dyDescent="0.25"/>
    <row r="576" ht="15" customHeight="1" x14ac:dyDescent="0.25"/>
    <row r="577" ht="15" customHeight="1" x14ac:dyDescent="0.25"/>
    <row r="578" ht="15" customHeight="1" x14ac:dyDescent="0.25"/>
    <row r="579" ht="15" customHeight="1" x14ac:dyDescent="0.25"/>
    <row r="580" ht="15" customHeight="1" x14ac:dyDescent="0.25"/>
    <row r="581" ht="15" customHeight="1" x14ac:dyDescent="0.25"/>
    <row r="582" ht="15" customHeight="1" x14ac:dyDescent="0.25"/>
    <row r="583" ht="15" customHeight="1" x14ac:dyDescent="0.25"/>
    <row r="584" ht="15" customHeight="1" x14ac:dyDescent="0.25"/>
    <row r="585" ht="15" customHeight="1" x14ac:dyDescent="0.25"/>
    <row r="586" ht="15" customHeight="1" x14ac:dyDescent="0.25"/>
    <row r="587" ht="15" customHeight="1" x14ac:dyDescent="0.25"/>
    <row r="588" ht="15" customHeight="1" x14ac:dyDescent="0.25"/>
    <row r="589" ht="15" customHeight="1" x14ac:dyDescent="0.25"/>
    <row r="590" ht="15" customHeight="1" x14ac:dyDescent="0.25"/>
    <row r="591" ht="15" customHeight="1" x14ac:dyDescent="0.25"/>
    <row r="592" ht="15" customHeight="1" x14ac:dyDescent="0.25"/>
    <row r="593" ht="15" customHeight="1" x14ac:dyDescent="0.25"/>
    <row r="594" ht="15" customHeight="1" x14ac:dyDescent="0.25"/>
    <row r="595" ht="15" customHeight="1" x14ac:dyDescent="0.25"/>
    <row r="596" ht="15" customHeight="1" x14ac:dyDescent="0.25"/>
    <row r="597" ht="15" customHeight="1" x14ac:dyDescent="0.25"/>
    <row r="598" ht="15" customHeight="1" x14ac:dyDescent="0.25"/>
    <row r="599" ht="15" customHeight="1" x14ac:dyDescent="0.25"/>
    <row r="600" ht="15" customHeight="1" x14ac:dyDescent="0.25"/>
    <row r="601" ht="15" customHeight="1" x14ac:dyDescent="0.25"/>
    <row r="602" ht="15" customHeight="1" x14ac:dyDescent="0.25"/>
    <row r="603" ht="15" customHeight="1" x14ac:dyDescent="0.25"/>
    <row r="604" ht="15" customHeight="1" x14ac:dyDescent="0.25"/>
    <row r="605" ht="15" customHeight="1" x14ac:dyDescent="0.25"/>
    <row r="606" ht="15" customHeight="1" x14ac:dyDescent="0.25"/>
    <row r="607" ht="15" customHeight="1" x14ac:dyDescent="0.25"/>
    <row r="608" ht="15" customHeight="1" x14ac:dyDescent="0.25"/>
    <row r="609" ht="15" customHeight="1" x14ac:dyDescent="0.25"/>
    <row r="610" ht="15" customHeight="1" x14ac:dyDescent="0.25"/>
    <row r="611" ht="15" customHeight="1" x14ac:dyDescent="0.25"/>
    <row r="612" ht="15" customHeight="1" x14ac:dyDescent="0.25"/>
    <row r="613" ht="15" customHeight="1" x14ac:dyDescent="0.25"/>
    <row r="614" ht="15" customHeight="1" x14ac:dyDescent="0.25"/>
    <row r="615" ht="15" customHeight="1" x14ac:dyDescent="0.25"/>
    <row r="616" ht="15" customHeight="1" x14ac:dyDescent="0.25"/>
    <row r="617" ht="15" customHeight="1" x14ac:dyDescent="0.25"/>
    <row r="618" ht="15" customHeight="1" x14ac:dyDescent="0.25"/>
    <row r="619" ht="15" customHeight="1" x14ac:dyDescent="0.25"/>
    <row r="620" ht="15" customHeight="1" x14ac:dyDescent="0.25"/>
    <row r="621" ht="15" customHeight="1" x14ac:dyDescent="0.25"/>
    <row r="622" ht="15" customHeight="1" x14ac:dyDescent="0.25"/>
    <row r="623" ht="15" customHeight="1" x14ac:dyDescent="0.25"/>
    <row r="624" ht="15" customHeight="1" x14ac:dyDescent="0.25"/>
    <row r="625" ht="15" customHeight="1" x14ac:dyDescent="0.25"/>
    <row r="626" ht="15" customHeight="1" x14ac:dyDescent="0.25"/>
    <row r="627" ht="15" customHeight="1" x14ac:dyDescent="0.25"/>
    <row r="628" ht="15" customHeight="1" x14ac:dyDescent="0.25"/>
    <row r="629" ht="15" customHeight="1" x14ac:dyDescent="0.25"/>
    <row r="630" ht="15" customHeight="1" x14ac:dyDescent="0.25"/>
    <row r="631" ht="15" customHeight="1" x14ac:dyDescent="0.25"/>
    <row r="632" ht="15" customHeight="1" x14ac:dyDescent="0.25"/>
    <row r="633" ht="15" customHeight="1" x14ac:dyDescent="0.25"/>
    <row r="634" ht="15" customHeight="1" x14ac:dyDescent="0.25"/>
    <row r="635" ht="15" customHeight="1" x14ac:dyDescent="0.25"/>
    <row r="636" ht="15" customHeight="1" x14ac:dyDescent="0.25"/>
    <row r="637" ht="15" customHeight="1" x14ac:dyDescent="0.25"/>
    <row r="638" ht="15" customHeight="1" x14ac:dyDescent="0.25"/>
    <row r="639" ht="15" customHeight="1" x14ac:dyDescent="0.25"/>
    <row r="640" ht="15" customHeight="1" x14ac:dyDescent="0.25"/>
    <row r="641" ht="15" customHeight="1" x14ac:dyDescent="0.25"/>
    <row r="642" ht="15" customHeight="1" x14ac:dyDescent="0.25"/>
    <row r="643" ht="15" customHeight="1" x14ac:dyDescent="0.25"/>
    <row r="644" ht="15" customHeight="1" x14ac:dyDescent="0.25"/>
    <row r="645" ht="15" customHeight="1" x14ac:dyDescent="0.25"/>
    <row r="646" ht="15" customHeight="1" x14ac:dyDescent="0.25"/>
    <row r="647" ht="15" customHeight="1" x14ac:dyDescent="0.25"/>
    <row r="648" ht="15" customHeight="1" x14ac:dyDescent="0.25"/>
    <row r="649" ht="15" customHeight="1" x14ac:dyDescent="0.25"/>
    <row r="650" ht="15" customHeight="1" x14ac:dyDescent="0.25"/>
    <row r="651" ht="15" customHeight="1" x14ac:dyDescent="0.25"/>
    <row r="652" ht="15" customHeight="1" x14ac:dyDescent="0.25"/>
    <row r="653" ht="15" customHeight="1" x14ac:dyDescent="0.25"/>
    <row r="654" ht="15" customHeight="1" x14ac:dyDescent="0.25"/>
    <row r="655" ht="15" customHeight="1" x14ac:dyDescent="0.25"/>
    <row r="656" ht="15" customHeight="1" x14ac:dyDescent="0.25"/>
    <row r="657" ht="15" customHeight="1" x14ac:dyDescent="0.25"/>
    <row r="658" ht="15" customHeight="1" x14ac:dyDescent="0.25"/>
    <row r="659" ht="15" customHeight="1" x14ac:dyDescent="0.25"/>
    <row r="660" ht="15" customHeight="1" x14ac:dyDescent="0.25"/>
    <row r="661" ht="15" customHeight="1" x14ac:dyDescent="0.25"/>
    <row r="662" ht="15" customHeight="1" x14ac:dyDescent="0.25"/>
    <row r="663" ht="15" customHeight="1" x14ac:dyDescent="0.25"/>
    <row r="664" ht="15" customHeight="1" x14ac:dyDescent="0.25"/>
    <row r="665" ht="15" customHeight="1" x14ac:dyDescent="0.25"/>
    <row r="666" ht="15" customHeight="1" x14ac:dyDescent="0.25"/>
    <row r="667" ht="15" customHeight="1" x14ac:dyDescent="0.25"/>
    <row r="668" ht="15" customHeight="1" x14ac:dyDescent="0.25"/>
    <row r="669" ht="15" customHeight="1" x14ac:dyDescent="0.25"/>
    <row r="670" ht="15" customHeight="1" x14ac:dyDescent="0.25"/>
    <row r="671" ht="15" customHeight="1" x14ac:dyDescent="0.25"/>
    <row r="672" ht="15" customHeight="1" x14ac:dyDescent="0.25"/>
    <row r="673" ht="15" customHeight="1" x14ac:dyDescent="0.25"/>
    <row r="674" ht="15" customHeight="1" x14ac:dyDescent="0.25"/>
    <row r="675" ht="15" customHeight="1" x14ac:dyDescent="0.25"/>
    <row r="676" ht="15" customHeight="1" x14ac:dyDescent="0.25"/>
    <row r="677" ht="15" customHeight="1" x14ac:dyDescent="0.25"/>
    <row r="678" ht="15" customHeight="1" x14ac:dyDescent="0.25"/>
    <row r="679" ht="15" customHeight="1" x14ac:dyDescent="0.25"/>
    <row r="680" ht="15" customHeight="1" x14ac:dyDescent="0.25"/>
    <row r="681" ht="15" customHeight="1" x14ac:dyDescent="0.25"/>
    <row r="682" ht="15" customHeight="1" x14ac:dyDescent="0.25"/>
    <row r="683" ht="15" customHeight="1" x14ac:dyDescent="0.25"/>
    <row r="684" ht="15" customHeight="1" x14ac:dyDescent="0.25"/>
    <row r="685" ht="15" customHeight="1" x14ac:dyDescent="0.25"/>
    <row r="686" ht="15" customHeight="1" x14ac:dyDescent="0.25"/>
    <row r="687" ht="15" customHeight="1" x14ac:dyDescent="0.25"/>
    <row r="688" ht="15" customHeight="1" x14ac:dyDescent="0.25"/>
    <row r="689" ht="15" customHeight="1" x14ac:dyDescent="0.25"/>
    <row r="690" ht="15" customHeight="1" x14ac:dyDescent="0.25"/>
    <row r="691" ht="15" customHeight="1" x14ac:dyDescent="0.25"/>
    <row r="692" ht="15" customHeight="1" x14ac:dyDescent="0.25"/>
    <row r="693" ht="15" customHeight="1" x14ac:dyDescent="0.25"/>
    <row r="694" ht="15" customHeight="1" x14ac:dyDescent="0.25"/>
    <row r="695" ht="15" customHeight="1" x14ac:dyDescent="0.25"/>
    <row r="696" ht="15" customHeight="1" x14ac:dyDescent="0.25"/>
    <row r="697" ht="15" customHeight="1" x14ac:dyDescent="0.25"/>
    <row r="698" ht="15" customHeight="1" x14ac:dyDescent="0.25"/>
    <row r="699" ht="15" customHeight="1" x14ac:dyDescent="0.25"/>
    <row r="700" ht="15" customHeight="1" x14ac:dyDescent="0.25"/>
    <row r="701" ht="15" customHeight="1" x14ac:dyDescent="0.25"/>
    <row r="702" ht="15" customHeight="1" x14ac:dyDescent="0.25"/>
    <row r="703" ht="15" customHeight="1" x14ac:dyDescent="0.25"/>
    <row r="704" ht="15" customHeight="1" x14ac:dyDescent="0.25"/>
    <row r="705" ht="15" customHeight="1" x14ac:dyDescent="0.25"/>
    <row r="706" ht="15" customHeight="1" x14ac:dyDescent="0.25"/>
    <row r="707" ht="15" customHeight="1" x14ac:dyDescent="0.25"/>
    <row r="708" ht="15" customHeight="1" x14ac:dyDescent="0.25"/>
    <row r="710" ht="15" customHeight="1" x14ac:dyDescent="0.25"/>
    <row r="712" ht="15" customHeight="1" x14ac:dyDescent="0.25"/>
    <row r="713" ht="15" customHeight="1" x14ac:dyDescent="0.25"/>
    <row r="714" ht="15" customHeight="1" x14ac:dyDescent="0.25"/>
    <row r="716" ht="15" customHeight="1" x14ac:dyDescent="0.25"/>
    <row r="717" ht="15" customHeight="1" x14ac:dyDescent="0.25"/>
    <row r="719" ht="15" customHeight="1" x14ac:dyDescent="0.25"/>
    <row r="721" ht="15" customHeight="1" x14ac:dyDescent="0.25"/>
    <row r="722" ht="15" customHeight="1" x14ac:dyDescent="0.25"/>
    <row r="723" ht="15" customHeight="1" x14ac:dyDescent="0.25"/>
    <row r="724" ht="15" customHeight="1" x14ac:dyDescent="0.25"/>
    <row r="725" ht="15" customHeight="1" x14ac:dyDescent="0.25"/>
    <row r="726" ht="15" customHeight="1" x14ac:dyDescent="0.25"/>
    <row r="727" ht="15" customHeight="1" x14ac:dyDescent="0.25"/>
    <row r="728" ht="15" customHeight="1" x14ac:dyDescent="0.25"/>
    <row r="729" ht="15" customHeight="1" x14ac:dyDescent="0.25"/>
    <row r="730" ht="15" customHeight="1" x14ac:dyDescent="0.25"/>
    <row r="731" ht="15" customHeight="1" x14ac:dyDescent="0.25"/>
    <row r="732" ht="15" customHeight="1" x14ac:dyDescent="0.25"/>
    <row r="733" ht="15" customHeight="1" x14ac:dyDescent="0.25"/>
    <row r="734" ht="15" customHeight="1" x14ac:dyDescent="0.25"/>
    <row r="735" ht="15" customHeight="1" x14ac:dyDescent="0.25"/>
    <row r="736" ht="15" customHeight="1" x14ac:dyDescent="0.25"/>
    <row r="737" ht="15" customHeight="1" x14ac:dyDescent="0.25"/>
    <row r="738" ht="15" customHeight="1" x14ac:dyDescent="0.25"/>
    <row r="739" ht="15" customHeight="1" x14ac:dyDescent="0.25"/>
    <row r="740" ht="15" customHeight="1" x14ac:dyDescent="0.25"/>
    <row r="741" ht="15" customHeight="1" x14ac:dyDescent="0.25"/>
    <row r="742" ht="15" customHeight="1" x14ac:dyDescent="0.25"/>
    <row r="743" ht="15" customHeight="1" x14ac:dyDescent="0.25"/>
    <row r="744" ht="15" customHeight="1" x14ac:dyDescent="0.25"/>
    <row r="745" ht="15" customHeight="1" x14ac:dyDescent="0.25"/>
    <row r="746" ht="15" customHeight="1" x14ac:dyDescent="0.25"/>
    <row r="747" ht="15" customHeight="1" x14ac:dyDescent="0.25"/>
    <row r="748" ht="15" customHeight="1" x14ac:dyDescent="0.25"/>
    <row r="749" ht="15" customHeight="1" x14ac:dyDescent="0.25"/>
    <row r="750" ht="15" customHeight="1" x14ac:dyDescent="0.25"/>
    <row r="751" ht="15" customHeight="1" x14ac:dyDescent="0.25"/>
    <row r="752" ht="15" customHeight="1" x14ac:dyDescent="0.25"/>
    <row r="753" ht="15" customHeight="1" x14ac:dyDescent="0.25"/>
    <row r="754" ht="15" customHeight="1" x14ac:dyDescent="0.25"/>
    <row r="755" ht="15" customHeight="1" x14ac:dyDescent="0.25"/>
    <row r="756" ht="15" customHeight="1" x14ac:dyDescent="0.25"/>
    <row r="757" ht="15" customHeight="1" x14ac:dyDescent="0.25"/>
    <row r="758" ht="15" customHeight="1" x14ac:dyDescent="0.25"/>
    <row r="759" ht="15" customHeight="1" x14ac:dyDescent="0.25"/>
    <row r="761" ht="15" customHeight="1" x14ac:dyDescent="0.25"/>
    <row r="762" ht="15" customHeight="1" x14ac:dyDescent="0.25"/>
    <row r="763" ht="15" customHeight="1" x14ac:dyDescent="0.25"/>
    <row r="764" ht="15" customHeight="1" x14ac:dyDescent="0.25"/>
    <row r="765" ht="15" customHeight="1" x14ac:dyDescent="0.25"/>
    <row r="766" ht="15" customHeight="1" x14ac:dyDescent="0.25"/>
    <row r="767" ht="15" customHeight="1" x14ac:dyDescent="0.25"/>
    <row r="768" ht="15" customHeight="1" x14ac:dyDescent="0.25"/>
    <row r="769" ht="15" customHeight="1" x14ac:dyDescent="0.25"/>
    <row r="770" ht="15" customHeight="1" x14ac:dyDescent="0.25"/>
    <row r="771" ht="15" customHeight="1" x14ac:dyDescent="0.25"/>
    <row r="772" ht="15" customHeight="1" x14ac:dyDescent="0.25"/>
    <row r="773" ht="15" customHeight="1" x14ac:dyDescent="0.25"/>
    <row r="774" ht="15" customHeight="1" x14ac:dyDescent="0.25"/>
    <row r="775" ht="15" customHeight="1" x14ac:dyDescent="0.25"/>
    <row r="776" ht="15" customHeight="1" x14ac:dyDescent="0.25"/>
    <row r="777" ht="15" customHeight="1" x14ac:dyDescent="0.25"/>
    <row r="778" ht="15" customHeight="1" x14ac:dyDescent="0.25"/>
    <row r="779" ht="15" customHeight="1" x14ac:dyDescent="0.25"/>
    <row r="780" ht="15" customHeight="1" x14ac:dyDescent="0.25"/>
    <row r="781" ht="15" customHeight="1" x14ac:dyDescent="0.25"/>
    <row r="782" ht="15" customHeight="1" x14ac:dyDescent="0.25"/>
    <row r="783" ht="15" customHeight="1" x14ac:dyDescent="0.25"/>
    <row r="784" ht="15" customHeight="1" x14ac:dyDescent="0.25"/>
    <row r="785" ht="15" customHeight="1" x14ac:dyDescent="0.25"/>
    <row r="786" ht="15" customHeight="1" x14ac:dyDescent="0.25"/>
    <row r="788" ht="15" customHeight="1" x14ac:dyDescent="0.25"/>
    <row r="789" ht="15" customHeight="1" x14ac:dyDescent="0.25"/>
    <row r="790" ht="15" customHeight="1" x14ac:dyDescent="0.25"/>
    <row r="791" ht="15" customHeight="1" x14ac:dyDescent="0.25"/>
    <row r="792" ht="15" customHeight="1" x14ac:dyDescent="0.25"/>
    <row r="793" ht="15" customHeight="1" x14ac:dyDescent="0.25"/>
    <row r="794" ht="15" customHeight="1" x14ac:dyDescent="0.25"/>
    <row r="795" ht="15" customHeight="1" x14ac:dyDescent="0.25"/>
    <row r="797" ht="15" customHeight="1" x14ac:dyDescent="0.25"/>
    <row r="798" ht="15" customHeight="1" x14ac:dyDescent="0.25"/>
    <row r="799" ht="15" customHeight="1" x14ac:dyDescent="0.25"/>
    <row r="800" ht="15" customHeight="1" x14ac:dyDescent="0.25"/>
    <row r="801" ht="15" customHeight="1" x14ac:dyDescent="0.25"/>
    <row r="802" ht="15" customHeight="1" x14ac:dyDescent="0.25"/>
    <row r="803" ht="15" customHeight="1" x14ac:dyDescent="0.25"/>
    <row r="804" ht="15" customHeight="1" x14ac:dyDescent="0.25"/>
    <row r="805" ht="15" customHeight="1" x14ac:dyDescent="0.25"/>
    <row r="806" ht="15" customHeight="1" x14ac:dyDescent="0.25"/>
    <row r="807" ht="15" customHeight="1" x14ac:dyDescent="0.25"/>
    <row r="808" ht="15" customHeight="1" x14ac:dyDescent="0.25"/>
    <row r="809" ht="15" customHeight="1" x14ac:dyDescent="0.25"/>
    <row r="810" ht="15" customHeight="1" x14ac:dyDescent="0.25"/>
    <row r="811" ht="15" customHeight="1" x14ac:dyDescent="0.25"/>
    <row r="812" ht="15" customHeight="1" x14ac:dyDescent="0.25"/>
    <row r="813" ht="15" customHeight="1" x14ac:dyDescent="0.25"/>
    <row r="814" ht="15" customHeight="1" x14ac:dyDescent="0.25"/>
    <row r="815" ht="15" customHeight="1" x14ac:dyDescent="0.25"/>
    <row r="816" ht="15" customHeight="1" x14ac:dyDescent="0.25"/>
    <row r="817" ht="15" customHeight="1" x14ac:dyDescent="0.25"/>
    <row r="818" ht="15" customHeight="1" x14ac:dyDescent="0.25"/>
    <row r="819" ht="15" customHeight="1" x14ac:dyDescent="0.25"/>
    <row r="820" ht="15" customHeight="1" x14ac:dyDescent="0.25"/>
    <row r="821" ht="15" customHeight="1" x14ac:dyDescent="0.25"/>
    <row r="822" ht="15" customHeight="1" x14ac:dyDescent="0.25"/>
    <row r="823" ht="15" customHeight="1" x14ac:dyDescent="0.25"/>
    <row r="824" ht="15" customHeight="1" x14ac:dyDescent="0.25"/>
    <row r="825" ht="15" customHeight="1" x14ac:dyDescent="0.25"/>
    <row r="826" ht="15" customHeight="1" x14ac:dyDescent="0.25"/>
    <row r="827" ht="15" customHeight="1" x14ac:dyDescent="0.25"/>
    <row r="828" ht="15" customHeight="1" x14ac:dyDescent="0.25"/>
    <row r="829" ht="15" customHeight="1" x14ac:dyDescent="0.25"/>
    <row r="830" ht="15" customHeight="1" x14ac:dyDescent="0.25"/>
    <row r="831" ht="15" customHeight="1" x14ac:dyDescent="0.25"/>
    <row r="832" ht="15" customHeight="1" x14ac:dyDescent="0.25"/>
    <row r="833" ht="15" customHeight="1" x14ac:dyDescent="0.25"/>
    <row r="834" ht="15" customHeight="1" x14ac:dyDescent="0.25"/>
    <row r="835" ht="15" customHeight="1" x14ac:dyDescent="0.25"/>
    <row r="836" ht="15" customHeight="1" x14ac:dyDescent="0.25"/>
    <row r="837" ht="15" customHeight="1" x14ac:dyDescent="0.25"/>
    <row r="838" ht="15" customHeight="1" x14ac:dyDescent="0.25"/>
    <row r="839" ht="15" customHeight="1" x14ac:dyDescent="0.25"/>
    <row r="840" ht="15" customHeight="1" x14ac:dyDescent="0.25"/>
    <row r="841" ht="15" customHeight="1" x14ac:dyDescent="0.25"/>
    <row r="842" ht="15" customHeight="1" x14ac:dyDescent="0.25"/>
    <row r="843" ht="15" customHeight="1" x14ac:dyDescent="0.25"/>
    <row r="844" ht="15" customHeight="1" x14ac:dyDescent="0.25"/>
    <row r="845" ht="15" customHeight="1" x14ac:dyDescent="0.25"/>
    <row r="846" ht="15" customHeight="1" x14ac:dyDescent="0.25"/>
    <row r="847" ht="15" customHeight="1" x14ac:dyDescent="0.25"/>
    <row r="848" ht="15" customHeight="1" x14ac:dyDescent="0.25"/>
    <row r="849" ht="15" customHeight="1" x14ac:dyDescent="0.25"/>
    <row r="850" ht="15" customHeight="1" x14ac:dyDescent="0.25"/>
    <row r="851" ht="15" customHeight="1" x14ac:dyDescent="0.25"/>
    <row r="852" ht="15" customHeight="1" x14ac:dyDescent="0.25"/>
    <row r="853" ht="15" customHeight="1" x14ac:dyDescent="0.25"/>
    <row r="854" ht="15" customHeight="1" x14ac:dyDescent="0.25"/>
    <row r="855" ht="15" customHeight="1" x14ac:dyDescent="0.25"/>
    <row r="856" ht="15" customHeight="1" x14ac:dyDescent="0.25"/>
    <row r="857" ht="15" customHeight="1" x14ac:dyDescent="0.25"/>
    <row r="858" ht="15" customHeight="1" x14ac:dyDescent="0.25"/>
    <row r="859" ht="15" customHeight="1" x14ac:dyDescent="0.25"/>
    <row r="860" ht="15" customHeight="1" x14ac:dyDescent="0.25"/>
    <row r="861" ht="15" customHeight="1" x14ac:dyDescent="0.25"/>
    <row r="862" ht="15" customHeight="1" x14ac:dyDescent="0.25"/>
    <row r="863" ht="15" customHeight="1" x14ac:dyDescent="0.25"/>
    <row r="864" ht="15" customHeight="1" x14ac:dyDescent="0.25"/>
    <row r="865" ht="15" customHeight="1" x14ac:dyDescent="0.25"/>
    <row r="866" ht="15" customHeight="1" x14ac:dyDescent="0.25"/>
    <row r="867" ht="15" customHeight="1" x14ac:dyDescent="0.25"/>
    <row r="868" ht="15" customHeight="1" x14ac:dyDescent="0.25"/>
    <row r="869" ht="15" customHeight="1" x14ac:dyDescent="0.25"/>
    <row r="870" ht="15" customHeight="1" x14ac:dyDescent="0.25"/>
    <row r="871" ht="15" customHeight="1" x14ac:dyDescent="0.25"/>
    <row r="872" ht="15" customHeight="1" x14ac:dyDescent="0.25"/>
    <row r="873" ht="15" customHeight="1" x14ac:dyDescent="0.25"/>
    <row r="874" ht="15" customHeight="1" x14ac:dyDescent="0.25"/>
    <row r="875" ht="15" customHeight="1" x14ac:dyDescent="0.25"/>
    <row r="876" ht="15" customHeight="1" x14ac:dyDescent="0.25"/>
    <row r="877" ht="15" customHeight="1" x14ac:dyDescent="0.25"/>
    <row r="878" ht="15" customHeight="1" x14ac:dyDescent="0.25"/>
    <row r="879" ht="15" customHeight="1" x14ac:dyDescent="0.25"/>
    <row r="880" ht="15" customHeight="1" x14ac:dyDescent="0.25"/>
    <row r="881" ht="15" customHeight="1" x14ac:dyDescent="0.25"/>
    <row r="882" ht="15" customHeight="1" x14ac:dyDescent="0.25"/>
    <row r="883" ht="15" customHeight="1" x14ac:dyDescent="0.25"/>
    <row r="884" ht="15" customHeight="1" x14ac:dyDescent="0.25"/>
    <row r="885" ht="15" customHeight="1" x14ac:dyDescent="0.25"/>
    <row r="886" ht="15" customHeight="1" x14ac:dyDescent="0.25"/>
    <row r="887" ht="15" customHeight="1" x14ac:dyDescent="0.25"/>
    <row r="888" ht="15" customHeight="1" x14ac:dyDescent="0.25"/>
    <row r="889" ht="15" customHeight="1" x14ac:dyDescent="0.25"/>
    <row r="890" ht="15" customHeight="1" x14ac:dyDescent="0.25"/>
    <row r="891" ht="15" customHeight="1" x14ac:dyDescent="0.25"/>
    <row r="892" ht="15" customHeight="1" x14ac:dyDescent="0.25"/>
    <row r="893" ht="15" customHeight="1" x14ac:dyDescent="0.25"/>
    <row r="894" ht="15" customHeight="1" x14ac:dyDescent="0.25"/>
    <row r="895" ht="15" customHeight="1" x14ac:dyDescent="0.25"/>
    <row r="896" ht="15" customHeight="1" x14ac:dyDescent="0.25"/>
    <row r="897" ht="15" customHeight="1" x14ac:dyDescent="0.25"/>
    <row r="898" ht="15" customHeight="1" x14ac:dyDescent="0.25"/>
    <row r="899" ht="15" customHeight="1" x14ac:dyDescent="0.25"/>
    <row r="900" ht="15" customHeight="1" x14ac:dyDescent="0.25"/>
    <row r="901" ht="15" customHeight="1" x14ac:dyDescent="0.25"/>
    <row r="902" ht="15" customHeight="1" x14ac:dyDescent="0.25"/>
    <row r="903" ht="15" customHeight="1" x14ac:dyDescent="0.25"/>
    <row r="904" ht="15" customHeight="1" x14ac:dyDescent="0.25"/>
    <row r="905" ht="15" customHeight="1" x14ac:dyDescent="0.25"/>
    <row r="906" ht="15" customHeight="1" x14ac:dyDescent="0.25"/>
    <row r="907" ht="15" customHeight="1" x14ac:dyDescent="0.25"/>
    <row r="908" ht="15" customHeight="1" x14ac:dyDescent="0.25"/>
    <row r="909" ht="15" customHeight="1" x14ac:dyDescent="0.25"/>
    <row r="910" ht="15" customHeight="1" x14ac:dyDescent="0.25"/>
    <row r="911" ht="15" customHeight="1" x14ac:dyDescent="0.25"/>
    <row r="913" ht="15" customHeight="1" x14ac:dyDescent="0.25"/>
    <row r="914" ht="15" customHeight="1" x14ac:dyDescent="0.25"/>
    <row r="915" ht="15" customHeight="1" x14ac:dyDescent="0.25"/>
    <row r="916" ht="15" customHeight="1" x14ac:dyDescent="0.25"/>
    <row r="917" ht="15" customHeight="1" x14ac:dyDescent="0.25"/>
    <row r="918" ht="15" customHeight="1" x14ac:dyDescent="0.25"/>
    <row r="919" ht="15" customHeight="1" x14ac:dyDescent="0.25"/>
    <row r="920" ht="15" customHeight="1" x14ac:dyDescent="0.25"/>
    <row r="921" ht="15" customHeight="1" x14ac:dyDescent="0.25"/>
    <row r="922" ht="15" customHeight="1" x14ac:dyDescent="0.25"/>
    <row r="923" ht="15" customHeight="1" x14ac:dyDescent="0.25"/>
    <row r="924" ht="15" customHeight="1" x14ac:dyDescent="0.25"/>
    <row r="925" ht="15" customHeight="1" x14ac:dyDescent="0.25"/>
    <row r="926" ht="15" customHeight="1" x14ac:dyDescent="0.25"/>
    <row r="927" ht="15" customHeight="1" x14ac:dyDescent="0.25"/>
    <row r="928" ht="15" customHeight="1" x14ac:dyDescent="0.25"/>
    <row r="929" ht="15" customHeight="1" x14ac:dyDescent="0.25"/>
    <row r="930" ht="15" customHeight="1" x14ac:dyDescent="0.25"/>
    <row r="931" ht="15" customHeight="1" x14ac:dyDescent="0.25"/>
    <row r="932" ht="15" customHeight="1" x14ac:dyDescent="0.25"/>
    <row r="933" ht="15" customHeight="1" x14ac:dyDescent="0.25"/>
    <row r="934" ht="15" customHeight="1" x14ac:dyDescent="0.25"/>
    <row r="935" ht="15" customHeight="1" x14ac:dyDescent="0.25"/>
    <row r="936" ht="15" customHeight="1" x14ac:dyDescent="0.25"/>
    <row r="937" ht="15" customHeight="1" x14ac:dyDescent="0.25"/>
    <row r="938" ht="15" customHeight="1" x14ac:dyDescent="0.25"/>
    <row r="939" ht="15" customHeight="1" x14ac:dyDescent="0.25"/>
    <row r="940" ht="15" customHeight="1" x14ac:dyDescent="0.25"/>
    <row r="941" ht="15" customHeight="1" x14ac:dyDescent="0.25"/>
    <row r="942" ht="15" customHeight="1" x14ac:dyDescent="0.25"/>
    <row r="943" ht="15" customHeight="1" x14ac:dyDescent="0.25"/>
    <row r="944" ht="15" customHeight="1" x14ac:dyDescent="0.25"/>
    <row r="945" ht="15" customHeight="1" x14ac:dyDescent="0.25"/>
    <row r="946" ht="15" customHeight="1" x14ac:dyDescent="0.25"/>
    <row r="947" ht="15" customHeight="1" x14ac:dyDescent="0.25"/>
    <row r="948" ht="15" customHeight="1" x14ac:dyDescent="0.25"/>
    <row r="949" ht="15" customHeight="1" x14ac:dyDescent="0.25"/>
    <row r="950" ht="15" customHeight="1" x14ac:dyDescent="0.25"/>
    <row r="951" ht="15" customHeight="1" x14ac:dyDescent="0.25"/>
    <row r="952" ht="15" customHeight="1" x14ac:dyDescent="0.25"/>
    <row r="953" ht="15" customHeight="1" x14ac:dyDescent="0.25"/>
    <row r="955" ht="15" customHeight="1" x14ac:dyDescent="0.25"/>
  </sheetData>
  <mergeCells count="11">
    <mergeCell ref="N13:O13"/>
    <mergeCell ref="C14:E14"/>
    <mergeCell ref="L14:M14"/>
    <mergeCell ref="B6:G6"/>
    <mergeCell ref="C1:G1"/>
    <mergeCell ref="B2:G2"/>
    <mergeCell ref="C3:G3"/>
    <mergeCell ref="B4:G4"/>
    <mergeCell ref="C5:G5"/>
    <mergeCell ref="B8:G9"/>
    <mergeCell ref="B11:G11"/>
  </mergeCells>
  <printOptions horizontalCentered="1"/>
  <pageMargins left="0.39370078740157483" right="0.39370078740157483" top="0.31496062992125984" bottom="0.39370078740157483" header="0.19685039370078741" footer="0.31496062992125984"/>
  <pageSetup paperSize="5" scale="72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Data Source</vt:lpstr>
      <vt:lpstr>Statistic Reports</vt:lpstr>
      <vt:lpstr>ByMunicipality</vt:lpstr>
      <vt:lpstr>TeenAge</vt:lpstr>
      <vt:lpstr>ByMunicipality!Print_Area</vt:lpstr>
      <vt:lpstr>'Statistic Reports'!Print_Area</vt:lpstr>
      <vt:lpstr>TeenAge!Print_Area</vt:lpstr>
      <vt:lpstr>ByMunicipality!Print_Titles</vt:lpstr>
      <vt:lpstr>'Statistic Reports'!Print_Titles</vt:lpstr>
      <vt:lpstr>TeenAge!Print_Titles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Administrator1010</dc:creator>
  <cp:lastModifiedBy>Administrator1010</cp:lastModifiedBy>
  <cp:lastPrinted>2026-01-15T07:36:29Z</cp:lastPrinted>
  <dcterms:created xsi:type="dcterms:W3CDTF">2024-12-17T02:26:53Z</dcterms:created>
  <dcterms:modified xsi:type="dcterms:W3CDTF">2026-01-15T07:50:08Z</dcterms:modified>
</cp:coreProperties>
</file>