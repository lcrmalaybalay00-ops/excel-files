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xampp\htdocs\PhpFile\eRegPartner\ExcelTemplate\"/>
    </mc:Choice>
  </mc:AlternateContent>
  <bookViews>
    <workbookView xWindow="0" yWindow="0" windowWidth="28800" windowHeight="11715" activeTab="1"/>
  </bookViews>
  <sheets>
    <sheet name="Data Source" sheetId="7" r:id="rId1"/>
    <sheet name="Statistic Reports" sheetId="6" r:id="rId2"/>
    <sheet name="ByMunicipality" sheetId="11" r:id="rId3"/>
    <sheet name="CauseOfDeath" sheetId="12" r:id="rId4"/>
    <sheet name="DeadonArrival" sheetId="13" r:id="rId5"/>
  </sheets>
  <definedNames>
    <definedName name="DataSourceTable" localSheetId="2">#REF!</definedName>
    <definedName name="DataSourceTable">#REF!</definedName>
    <definedName name="pangit" localSheetId="2">#REF!</definedName>
    <definedName name="pangit" localSheetId="1">#REF!</definedName>
    <definedName name="_xlnm.Print_Area" localSheetId="2">ByMunicipality!$A$1:$J$78</definedName>
    <definedName name="_xlnm.Print_Area" localSheetId="1">'Statistic Reports'!$A$1:$G$135</definedName>
    <definedName name="_xlnm.Print_Titles" localSheetId="2">ByMunicipality!$1:$9</definedName>
    <definedName name="_xlnm.Print_Titles" localSheetId="1">'Statistic Reports'!$1:$10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6" l="1"/>
  <c r="B8" i="11"/>
  <c r="B9" i="6"/>
  <c r="D93" i="6" l="1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C15" i="6"/>
  <c r="E75" i="6" l="1"/>
  <c r="L92" i="6" l="1"/>
  <c r="L76" i="6"/>
  <c r="M76" i="6" l="1"/>
  <c r="L77" i="6" s="1"/>
  <c r="M92" i="6"/>
  <c r="L93" i="6" s="1"/>
  <c r="E76" i="6" l="1"/>
  <c r="M77" i="6"/>
  <c r="L78" i="6" s="1"/>
  <c r="E92" i="6"/>
  <c r="E27" i="6"/>
  <c r="E93" i="6" l="1"/>
  <c r="E77" i="6"/>
  <c r="M78" i="6"/>
  <c r="L79" i="6" s="1"/>
  <c r="E74" i="6"/>
  <c r="M79" i="6" l="1"/>
  <c r="L80" i="6" s="1"/>
  <c r="E15" i="6"/>
  <c r="E78" i="6" l="1"/>
  <c r="M80" i="6"/>
  <c r="L81" i="6" s="1"/>
  <c r="E94" i="6"/>
  <c r="M81" i="6" l="1"/>
  <c r="L82" i="6" s="1"/>
  <c r="E79" i="6"/>
  <c r="E80" i="6"/>
  <c r="E20" i="6"/>
  <c r="E21" i="6"/>
  <c r="E25" i="6"/>
  <c r="E16" i="6"/>
  <c r="E22" i="6"/>
  <c r="D28" i="6"/>
  <c r="E23" i="6"/>
  <c r="E24" i="6"/>
  <c r="E26" i="6"/>
  <c r="E19" i="6"/>
  <c r="C28" i="6"/>
  <c r="E18" i="6"/>
  <c r="E17" i="6"/>
  <c r="E81" i="6" l="1"/>
  <c r="M82" i="6"/>
  <c r="L83" i="6" s="1"/>
  <c r="E28" i="6"/>
  <c r="E82" i="6" l="1"/>
  <c r="M83" i="6"/>
  <c r="L84" i="6" s="1"/>
  <c r="M84" i="6" l="1"/>
  <c r="L85" i="6" s="1"/>
  <c r="E83" i="6" l="1"/>
  <c r="E84" i="6"/>
  <c r="M85" i="6"/>
  <c r="L86" i="6" s="1"/>
  <c r="E85" i="6" l="1"/>
  <c r="M86" i="6"/>
  <c r="L87" i="6" s="1"/>
  <c r="M87" i="6" l="1"/>
  <c r="L88" i="6" s="1"/>
  <c r="E86" i="6" l="1"/>
  <c r="M88" i="6"/>
  <c r="L89" i="6" s="1"/>
  <c r="E87" i="6" l="1"/>
  <c r="E88" i="6"/>
  <c r="M89" i="6"/>
  <c r="L90" i="6" s="1"/>
  <c r="M90" i="6" l="1"/>
  <c r="L91" i="6" s="1"/>
  <c r="E89" i="6" l="1"/>
  <c r="E90" i="6"/>
  <c r="C95" i="6"/>
  <c r="E91" i="6" l="1"/>
  <c r="E95" i="6" s="1"/>
  <c r="D95" i="6"/>
</calcChain>
</file>

<file path=xl/sharedStrings.xml><?xml version="1.0" encoding="utf-8"?>
<sst xmlns="http://schemas.openxmlformats.org/spreadsheetml/2006/main" count="152" uniqueCount="133">
  <si>
    <t>TOTAL</t>
  </si>
  <si>
    <t>Female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</si>
  <si>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</si>
  <si>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</si>
  <si>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</si>
  <si>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</si>
  <si>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</si>
  <si>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</si>
  <si>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</si>
  <si>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</si>
  <si>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</si>
  <si>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</si>
  <si>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</si>
  <si>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</si>
  <si>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</si>
  <si>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</si>
  <si>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 xml:space="preserve"> </t>
  </si>
  <si>
    <t>MALE</t>
  </si>
  <si>
    <t>Ref. Month No.</t>
  </si>
  <si>
    <t>FEMALE</t>
  </si>
  <si>
    <t>AGE Category</t>
  </si>
  <si>
    <t>DON’T DELETE</t>
  </si>
  <si>
    <t>HEADING 1</t>
  </si>
  <si>
    <t>HEADING 2</t>
  </si>
  <si>
    <t>Municipality Name</t>
  </si>
  <si>
    <t>Province</t>
  </si>
  <si>
    <t>Country</t>
  </si>
  <si>
    <t>No.</t>
  </si>
  <si>
    <t>Death Registration By Month and By Gender</t>
  </si>
  <si>
    <t>Below 1 Year Old</t>
  </si>
  <si>
    <t>1 - 4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</si>
  <si>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</si>
  <si>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</si>
  <si>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</si>
  <si>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</si>
  <si>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</si>
  <si>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</si>
  <si>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</si>
  <si>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</si>
  <si>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</si>
  <si>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</si>
  <si>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</si>
  <si>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</si>
  <si>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</si>
  <si>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</si>
  <si>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</si>
  <si>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80 - 89</t>
  </si>
  <si>
    <t>90 - 99</t>
  </si>
  <si>
    <t>100 - Above</t>
  </si>
  <si>
    <t>Above</t>
  </si>
  <si>
    <t>Male</t>
  </si>
  <si>
    <t>AA</t>
  </si>
  <si>
    <t>MUNICIPALITY SUMMARY</t>
  </si>
  <si>
    <t>Cause Immediate</t>
  </si>
  <si>
    <t>Cause Underlying</t>
  </si>
  <si>
    <t>Cause Antecedent</t>
  </si>
  <si>
    <t>Cause Underlying Interval</t>
  </si>
  <si>
    <t>Cause Other</t>
  </si>
  <si>
    <t>Reg. No.</t>
  </si>
  <si>
    <t>Last Name</t>
  </si>
  <si>
    <t>First Name</t>
  </si>
  <si>
    <t>Middle Name</t>
  </si>
  <si>
    <t>Date of Death</t>
  </si>
  <si>
    <t>CAUSE OF DEATH</t>
  </si>
  <si>
    <t>DEAD ON ARRIVAL SUMMARY</t>
  </si>
  <si>
    <t>RegistryNum</t>
  </si>
  <si>
    <t>DocumentStatus</t>
  </si>
  <si>
    <t>CFirstName</t>
  </si>
  <si>
    <t>CMiddleName</t>
  </si>
  <si>
    <t>CLastName</t>
  </si>
  <si>
    <t>CSexId</t>
  </si>
  <si>
    <t>CDeathDate</t>
  </si>
  <si>
    <t>CBirthDate</t>
  </si>
  <si>
    <t>CAgeYears</t>
  </si>
  <si>
    <t>CAgeMonths</t>
  </si>
  <si>
    <t>CAgeDays</t>
  </si>
  <si>
    <t>CAgeHours</t>
  </si>
  <si>
    <t>CAgeMinutes</t>
  </si>
  <si>
    <t>CDeathAddress</t>
  </si>
  <si>
    <t>CDeathMunicipality</t>
  </si>
  <si>
    <t>CDeathMunicipalityId</t>
  </si>
  <si>
    <t>CDeathProvince</t>
  </si>
  <si>
    <t>CDeathProvinceId</t>
  </si>
  <si>
    <t>CDeathCountry</t>
  </si>
  <si>
    <t>CDeathCountryId</t>
  </si>
  <si>
    <t>CCivilStatusId</t>
  </si>
  <si>
    <t>CReligion</t>
  </si>
  <si>
    <t>CCitizenship</t>
  </si>
  <si>
    <t>CResidenceAddress</t>
  </si>
  <si>
    <t>CResidenceMunicipality</t>
  </si>
  <si>
    <t>CResidenceMunicipalityId</t>
  </si>
  <si>
    <t>CResidenceProvince</t>
  </si>
  <si>
    <t>CResidenceProvinceId</t>
  </si>
  <si>
    <t>CResidenceCountry</t>
  </si>
  <si>
    <t>CResidenceCountryId</t>
  </si>
  <si>
    <t>COccupation</t>
  </si>
  <si>
    <t>FFirstName</t>
  </si>
  <si>
    <t>FMiddleName</t>
  </si>
  <si>
    <t>FLastName</t>
  </si>
  <si>
    <t>MFirstName</t>
  </si>
  <si>
    <t>MMiddleName</t>
  </si>
  <si>
    <t>MLastName</t>
  </si>
  <si>
    <t>CCauseImmediate</t>
  </si>
  <si>
    <t>CCauseImmediateId</t>
  </si>
  <si>
    <t>CCauseImmediateInterval</t>
  </si>
  <si>
    <t>CCauseAntecedent</t>
  </si>
  <si>
    <t>CCauseAntecedentId</t>
  </si>
  <si>
    <t>CCauseAntecedentInterval</t>
  </si>
  <si>
    <t>CCauseUnderlying</t>
  </si>
  <si>
    <t>CCauseUnderlyingId</t>
  </si>
  <si>
    <t>CCauseUnderlyingInterval</t>
  </si>
  <si>
    <t>CCauseOther</t>
  </si>
  <si>
    <t>CCauseOtherId</t>
  </si>
  <si>
    <t>AttendantId</t>
  </si>
  <si>
    <t>AttendantName</t>
  </si>
  <si>
    <t>AttendantTitle</t>
  </si>
  <si>
    <t>AttendantAttendedFrom</t>
  </si>
  <si>
    <t>PreparerName</t>
  </si>
  <si>
    <t>PreparerTitle</t>
  </si>
  <si>
    <t>PreparerDate</t>
  </si>
  <si>
    <t>DateReceived</t>
  </si>
  <si>
    <t>DateRegistered</t>
  </si>
  <si>
    <t>Week Number</t>
  </si>
  <si>
    <t>Week Start Date</t>
  </si>
  <si>
    <t>Week End Date</t>
  </si>
  <si>
    <t>Year</t>
  </si>
  <si>
    <t>Day</t>
  </si>
  <si>
    <t>AgeYearsNumeric</t>
  </si>
  <si>
    <t>AgeMonthsNumeric</t>
  </si>
  <si>
    <t>AgeDaysNumeric</t>
  </si>
  <si>
    <t>AgeHoursNumeric</t>
  </si>
  <si>
    <t>AgeMinutesNumeric</t>
  </si>
  <si>
    <t>Death Age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</si>
</sst>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5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color rgb="FF000000"/>
      <name val="Tahoma"/>
      <family val="2"/>
    </font>
    <font>
      <sz val="8"/>
      <color indexed="2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0F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164" fontId="1" fillId="0" borderId="0"/>
    <xf numFmtId="164" fontId="1" fillId="0" borderId="0" applyFont="0" applyFill="0" applyBorder="0" applyAlignment="0" applyProtection="0"/>
  </cellStyleXfs>
  <cellXfs count="43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165" fontId="3" fillId="0" borderId="1" xfId="1" applyNumberFormat="1" applyFont="1" applyFill="1" applyBorder="1" applyAlignment="1" applyProtection="1">
      <alignment horizontal="left" vertical="center"/>
    </xf>
    <xf numFmtId="165" fontId="5" fillId="3" borderId="1" xfId="1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wrapText="1"/>
    </xf>
    <xf numFmtId="165" fontId="5" fillId="3" borderId="3" xfId="1" applyNumberFormat="1" applyFont="1" applyFill="1" applyBorder="1" applyAlignment="1" applyProtection="1">
      <alignment horizontal="left" vertical="center"/>
    </xf>
    <xf numFmtId="165" fontId="5" fillId="3" borderId="2" xfId="1" applyNumberFormat="1" applyFont="1" applyFill="1" applyBorder="1" applyAlignment="1" applyProtection="1">
      <alignment horizontal="left" vertical="center"/>
    </xf>
    <xf numFmtId="0" fontId="0" fillId="0" borderId="6" xfId="0" applyNumberFormat="1" applyFont="1" applyFill="1" applyBorder="1" applyAlignment="1" applyProtection="1">
      <alignment horizontal="left" vertical="center" indent="2"/>
    </xf>
    <xf numFmtId="165" fontId="5" fillId="3" borderId="11" xfId="1" applyNumberFormat="1" applyFont="1" applyFill="1" applyBorder="1" applyAlignment="1" applyProtection="1">
      <alignment horizontal="left" vertical="center"/>
    </xf>
    <xf numFmtId="165" fontId="0" fillId="0" borderId="0" xfId="0" applyNumberFormat="1" applyFont="1" applyFill="1" applyBorder="1" applyProtection="1"/>
    <xf numFmtId="0" fontId="6" fillId="4" borderId="9" xfId="0" applyNumberFormat="1" applyFont="1" applyFill="1" applyBorder="1" applyAlignment="1" applyProtection="1">
      <alignment horizontal="center" vertical="center"/>
    </xf>
    <xf numFmtId="0" fontId="6" fillId="4" borderId="10" xfId="0" applyNumberFormat="1" applyFont="1" applyFill="1" applyBorder="1" applyAlignment="1" applyProtection="1">
      <alignment horizontal="center" vertical="center"/>
    </xf>
    <xf numFmtId="0" fontId="6" fillId="4" borderId="13" xfId="0" applyNumberFormat="1" applyFont="1" applyFill="1" applyBorder="1" applyAlignment="1" applyProtection="1">
      <alignment horizontal="center" vertical="center" wrapText="1"/>
    </xf>
    <xf numFmtId="165" fontId="4" fillId="0" borderId="14" xfId="1" applyNumberFormat="1" applyFont="1" applyFill="1" applyBorder="1" applyAlignment="1" applyProtection="1">
      <alignment horizontal="left" vertical="center"/>
    </xf>
    <xf numFmtId="165" fontId="5" fillId="3" borderId="14" xfId="1" applyNumberFormat="1" applyFont="1" applyFill="1" applyBorder="1" applyAlignment="1" applyProtection="1">
      <alignment horizontal="left" vertical="center"/>
    </xf>
    <xf numFmtId="0" fontId="6" fillId="4" borderId="9" xfId="0" applyNumberFormat="1" applyFont="1" applyFill="1" applyBorder="1" applyAlignment="1" applyProtection="1">
      <alignment horizontal="center" vertical="center"/>
    </xf>
    <xf numFmtId="0" fontId="6" fillId="4" borderId="10" xfId="0" applyNumberFormat="1" applyFont="1" applyFill="1" applyBorder="1" applyAlignment="1" applyProtection="1">
      <alignment horizontal="center" vertical="center"/>
    </xf>
    <xf numFmtId="0" fontId="6" fillId="5" borderId="7" xfId="0" applyNumberFormat="1" applyFont="1" applyFill="1" applyBorder="1" applyAlignment="1" applyProtection="1">
      <alignment horizontal="left" vertical="center" indent="2"/>
    </xf>
    <xf numFmtId="165" fontId="6" fillId="5" borderId="8" xfId="1" applyNumberFormat="1" applyFont="1" applyFill="1" applyBorder="1" applyAlignment="1" applyProtection="1">
      <alignment horizontal="left" vertical="center"/>
    </xf>
    <xf numFmtId="165" fontId="6" fillId="5" borderId="15" xfId="1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Protection="1"/>
    <xf numFmtId="0" fontId="6" fillId="2" borderId="4" xfId="0" applyNumberFormat="1" applyFont="1" applyFill="1" applyBorder="1" applyAlignment="1" applyProtection="1">
      <alignment horizontal="left" vertical="center" indent="1"/>
    </xf>
    <xf numFmtId="0" fontId="0" fillId="2" borderId="5" xfId="0" applyNumberFormat="1" applyFont="1" applyFill="1" applyBorder="1" applyAlignment="1" applyProtection="1">
      <alignment horizontal="left" vertical="center" indent="1"/>
    </xf>
    <xf numFmtId="0" fontId="0" fillId="2" borderId="16" xfId="0" applyNumberFormat="1" applyFont="1" applyFill="1" applyBorder="1" applyAlignment="1" applyProtection="1">
      <alignment horizontal="left" vertical="center" indent="1"/>
    </xf>
    <xf numFmtId="0" fontId="0" fillId="0" borderId="0" xfId="0" applyNumberFormat="1" applyFont="1" applyFill="1" applyBorder="1" applyAlignment="1" applyProtection="1">
      <alignment horizontal="left" vertical="center" indent="1"/>
    </xf>
    <xf numFmtId="165" fontId="3" fillId="0" borderId="14" xfId="1" applyNumberFormat="1" applyFont="1" applyFill="1" applyBorder="1" applyAlignment="1" applyProtection="1">
      <alignment horizontal="left" vertical="center"/>
    </xf>
    <xf numFmtId="0" fontId="2" fillId="4" borderId="17" xfId="0" applyNumberFormat="1" applyFont="1" applyFill="1" applyBorder="1" applyAlignment="1" applyProtection="1">
      <alignment horizontal="center" vertical="center"/>
    </xf>
    <xf numFmtId="0" fontId="2" fillId="4" borderId="17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left" vertical="top"/>
    </xf>
    <xf numFmtId="0" fontId="10" fillId="7" borderId="19" xfId="0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12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165" fontId="0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/>
    </xf>
    <xf numFmtId="0" fontId="6" fillId="2" borderId="4" xfId="0" applyNumberFormat="1" applyFont="1" applyFill="1" applyBorder="1" applyAlignment="1" applyProtection="1">
      <alignment horizontal="left" vertical="center" indent="1"/>
    </xf>
    <xf numFmtId="0" fontId="6" fillId="2" borderId="5" xfId="0" applyNumberFormat="1" applyFont="1" applyFill="1" applyBorder="1" applyAlignment="1" applyProtection="1">
      <alignment horizontal="left" vertical="center" indent="1"/>
    </xf>
    <xf numFmtId="0" fontId="6" fillId="2" borderId="16" xfId="0" applyNumberFormat="1" applyFont="1" applyFill="1" applyBorder="1" applyAlignment="1" applyProtection="1">
      <alignment horizontal="left" vertical="center" indent="1"/>
    </xf>
  </cellXfs>
  <cellStyles count="3">
    <cellStyle name="Comma" xfId="1" builtinId="3"/>
    <cellStyle name="Comma 2" xfId="2"/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border outline="0">
        <top style="thin">
          <color indexed="22"/>
        </top>
        <bottom style="thin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23"/>
        <name val="Tahoma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800"/>
              <a:t>Death Registration By Month</a:t>
            </a:r>
            <a:r>
              <a:rPr lang="en-PH" sz="1800" baseline="0"/>
              <a:t> and</a:t>
            </a:r>
            <a:r>
              <a:rPr lang="en-PH" sz="1800"/>
              <a:t> By</a:t>
            </a:r>
            <a:r>
              <a:rPr lang="en-PH" sz="1800" baseline="0"/>
              <a:t> </a:t>
            </a:r>
            <a:r>
              <a:rPr lang="en-PH" sz="1800"/>
              <a:t>Gender </a:t>
            </a:r>
          </a:p>
        </c:rich>
      </c:tx>
      <c:layout>
        <c:manualLayout>
          <c:xMode val="edge"/>
          <c:yMode val="edge"/>
          <c:x val="4.868905440569668E-2"/>
          <c:y val="1.5114380093215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4535779267377E-2"/>
          <c:y val="0.10870023680923213"/>
          <c:w val="0.94193603389691516"/>
          <c:h val="0.740408266246525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'Statistic Reports'!$C$14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Reports'!$C$15:$C$26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Reports'!$D$14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Reports'!$D$15:$D$26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0159024"/>
        <c:axId val="400159416"/>
      </c:barChart>
      <c:catAx>
        <c:axId val="40015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59416"/>
        <c:crosses val="autoZero"/>
        <c:auto val="1"/>
        <c:lblAlgn val="ctr"/>
        <c:lblOffset val="100"/>
        <c:noMultiLvlLbl val="0"/>
      </c:catAx>
      <c:valAx>
        <c:axId val="40015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5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MONTHLY</a:t>
            </a:r>
            <a:r>
              <a:rPr lang="en-PH" b="1" baseline="0"/>
              <a:t> </a:t>
            </a:r>
            <a:r>
              <a:rPr lang="en-PH" b="1"/>
              <a:t>DEATH REGISTERED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16443638577248"/>
          <c:y val="0.14232378826692368"/>
          <c:w val="0.74967685699160191"/>
          <c:h val="0.76013738915223739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'Statistic Reports'!$E$14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2700" cap="flat" cmpd="sng" algn="ctr">
              <a:solidFill>
                <a:schemeClr val="tx1">
                  <a:lumMod val="95000"/>
                  <a:lumOff val="5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Reports'!$B$15:$B$26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'Statistic Reports'!$E$15:$E$26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8"/>
        <c:overlap val="-14"/>
        <c:axId val="400163728"/>
        <c:axId val="400160592"/>
      </c:barChart>
      <c:catAx>
        <c:axId val="400163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60592"/>
        <c:crosses val="autoZero"/>
        <c:auto val="1"/>
        <c:lblAlgn val="ctr"/>
        <c:lblOffset val="100"/>
        <c:noMultiLvlLbl val="0"/>
      </c:catAx>
      <c:valAx>
        <c:axId val="400160592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63728"/>
        <c:crosses val="autoZero"/>
        <c:crossBetween val="between"/>
      </c:valAx>
      <c:spPr>
        <a:pattFill prst="narHorz">
          <a:fgClr>
            <a:srgbClr val="FFFFFF"/>
          </a:fgClr>
          <a:bgClr>
            <a:schemeClr val="bg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pattFill prst="pct20">
      <a:fgClr>
        <a:srgbClr val="FFFFFF"/>
      </a:fgClr>
      <a:bgClr>
        <a:schemeClr val="bg1"/>
      </a:bgClr>
    </a:patt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'Statistic Reports'!$C$14:$D$14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'Statistic Reports'!$C$14:$D$14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'Statistic Reports'!$C$28:$D$28</c:f>
              <c:numCache>
                <c:formatCode>_-* #,##0_-;\-* #,##0_-;_-*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 Reports'!$C$73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'Statistic Reports'!$B$74:$B$93</c:f>
              <c:strCache>
                <c:ptCount val="20"/>
                <c:pt idx="0">
                  <c:v>Below 1 Year Old</c:v>
                </c:pt>
                <c:pt idx="1">
                  <c:v>1 - 4</c:v>
                </c:pt>
                <c:pt idx="2">
                  <c:v>5 - 9</c:v>
                </c:pt>
                <c:pt idx="3">
                  <c:v>10 - 14</c:v>
                </c:pt>
                <c:pt idx="4">
                  <c:v>15 - 19</c:v>
                </c:pt>
                <c:pt idx="5">
                  <c:v>20 - 24</c:v>
                </c:pt>
                <c:pt idx="6">
                  <c:v>25 - 29</c:v>
                </c:pt>
                <c:pt idx="7">
                  <c:v>30 - 34</c:v>
                </c:pt>
                <c:pt idx="8">
                  <c:v>35 - 39</c:v>
                </c:pt>
                <c:pt idx="9">
                  <c:v>40 - 44</c:v>
                </c:pt>
                <c:pt idx="10">
                  <c:v>45 - 49</c:v>
                </c:pt>
                <c:pt idx="11">
                  <c:v>50 - 54</c:v>
                </c:pt>
                <c:pt idx="12">
                  <c:v>55 - 59</c:v>
                </c:pt>
                <c:pt idx="13">
                  <c:v>60 - 64</c:v>
                </c:pt>
                <c:pt idx="14">
                  <c:v>65 - 69</c:v>
                </c:pt>
                <c:pt idx="15">
                  <c:v>70 - 74</c:v>
                </c:pt>
                <c:pt idx="16">
                  <c:v>75 - 79</c:v>
                </c:pt>
                <c:pt idx="17">
                  <c:v>80 - 89</c:v>
                </c:pt>
                <c:pt idx="18">
                  <c:v>90 - 99</c:v>
                </c:pt>
                <c:pt idx="19">
                  <c:v>100 - Above</c:v>
                </c:pt>
              </c:strCache>
            </c:strRef>
          </c:cat>
          <c:val>
            <c:numRef>
              <c:f>'Statistic Reports'!$C$74:$C$93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'Statistic Reports'!$D$73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'Statistic Reports'!$B$74:$B$93</c:f>
              <c:strCache>
                <c:ptCount val="20"/>
                <c:pt idx="0">
                  <c:v>Below 1 Year Old</c:v>
                </c:pt>
                <c:pt idx="1">
                  <c:v>1 - 4</c:v>
                </c:pt>
                <c:pt idx="2">
                  <c:v>5 - 9</c:v>
                </c:pt>
                <c:pt idx="3">
                  <c:v>10 - 14</c:v>
                </c:pt>
                <c:pt idx="4">
                  <c:v>15 - 19</c:v>
                </c:pt>
                <c:pt idx="5">
                  <c:v>20 - 24</c:v>
                </c:pt>
                <c:pt idx="6">
                  <c:v>25 - 29</c:v>
                </c:pt>
                <c:pt idx="7">
                  <c:v>30 - 34</c:v>
                </c:pt>
                <c:pt idx="8">
                  <c:v>35 - 39</c:v>
                </c:pt>
                <c:pt idx="9">
                  <c:v>40 - 44</c:v>
                </c:pt>
                <c:pt idx="10">
                  <c:v>45 - 49</c:v>
                </c:pt>
                <c:pt idx="11">
                  <c:v>50 - 54</c:v>
                </c:pt>
                <c:pt idx="12">
                  <c:v>55 - 59</c:v>
                </c:pt>
                <c:pt idx="13">
                  <c:v>60 - 64</c:v>
                </c:pt>
                <c:pt idx="14">
                  <c:v>65 - 69</c:v>
                </c:pt>
                <c:pt idx="15">
                  <c:v>70 - 74</c:v>
                </c:pt>
                <c:pt idx="16">
                  <c:v>75 - 79</c:v>
                </c:pt>
                <c:pt idx="17">
                  <c:v>80 - 89</c:v>
                </c:pt>
                <c:pt idx="18">
                  <c:v>90 - 99</c:v>
                </c:pt>
                <c:pt idx="19">
                  <c:v>100 - Above</c:v>
                </c:pt>
              </c:strCache>
            </c:strRef>
          </c:cat>
          <c:val>
            <c:numRef>
              <c:f>'Statistic Reports'!$D$74:$D$93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167648"/>
        <c:axId val="400158240"/>
      </c:barChart>
      <c:lineChart>
        <c:grouping val="standard"/>
        <c:varyColors val="0"/>
        <c:ser>
          <c:idx val="2"/>
          <c:order val="2"/>
          <c:tx>
            <c:strRef>
              <c:f>'Statistic Reports'!$E$73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3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1.6306952835285053E-3"/>
                  <c:y val="2.344298668478114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1414866984699268E-2"/>
                  <c:y val="2.88529066889614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'Statistic Reports'!$B$74:$B$93</c:f>
              <c:strCache>
                <c:ptCount val="20"/>
                <c:pt idx="0">
                  <c:v>Below 1 Year Old</c:v>
                </c:pt>
                <c:pt idx="1">
                  <c:v>1 - 4</c:v>
                </c:pt>
                <c:pt idx="2">
                  <c:v>5 - 9</c:v>
                </c:pt>
                <c:pt idx="3">
                  <c:v>10 - 14</c:v>
                </c:pt>
                <c:pt idx="4">
                  <c:v>15 - 19</c:v>
                </c:pt>
                <c:pt idx="5">
                  <c:v>20 - 24</c:v>
                </c:pt>
                <c:pt idx="6">
                  <c:v>25 - 29</c:v>
                </c:pt>
                <c:pt idx="7">
                  <c:v>30 - 34</c:v>
                </c:pt>
                <c:pt idx="8">
                  <c:v>35 - 39</c:v>
                </c:pt>
                <c:pt idx="9">
                  <c:v>40 - 44</c:v>
                </c:pt>
                <c:pt idx="10">
                  <c:v>45 - 49</c:v>
                </c:pt>
                <c:pt idx="11">
                  <c:v>50 - 54</c:v>
                </c:pt>
                <c:pt idx="12">
                  <c:v>55 - 59</c:v>
                </c:pt>
                <c:pt idx="13">
                  <c:v>60 - 64</c:v>
                </c:pt>
                <c:pt idx="14">
                  <c:v>65 - 69</c:v>
                </c:pt>
                <c:pt idx="15">
                  <c:v>70 - 74</c:v>
                </c:pt>
                <c:pt idx="16">
                  <c:v>75 - 79</c:v>
                </c:pt>
                <c:pt idx="17">
                  <c:v>80 - 89</c:v>
                </c:pt>
                <c:pt idx="18">
                  <c:v>90 - 99</c:v>
                </c:pt>
                <c:pt idx="19">
                  <c:v>100 - Above</c:v>
                </c:pt>
              </c:strCache>
            </c:strRef>
          </c:cat>
          <c:val>
            <c:numRef>
              <c:f>'Statistic Reports'!$E$74:$E$93</c:f>
              <c:numCache>
                <c:formatCode>_-* #,##0_-;\-* #,##0_-;_-* "-"??_-;_-@_-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167648"/>
        <c:axId val="400158240"/>
      </c:lineChart>
      <c:catAx>
        <c:axId val="40016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58240"/>
        <c:crosses val="autoZero"/>
        <c:auto val="1"/>
        <c:lblAlgn val="ctr"/>
        <c:lblOffset val="100"/>
        <c:noMultiLvlLbl val="0"/>
      </c:catAx>
      <c:valAx>
        <c:axId val="40015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6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Mother Age Category with Child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156672"/>
        <c:axId val="400163336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73025">
                <a:solidFill>
                  <a:srgbClr val="FF0000"/>
                </a:solidFill>
              </a:ln>
              <a:effectLst/>
            </c:spPr>
          </c:marker>
          <c:val>
            <c:numRef>
              <c:f>ByMunicipality!#REF!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ByMunicipality!#REF!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156672"/>
        <c:axId val="400163336"/>
      </c:lineChart>
      <c:catAx>
        <c:axId val="4001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63336"/>
        <c:crosses val="autoZero"/>
        <c:auto val="1"/>
        <c:lblAlgn val="ctr"/>
        <c:lblOffset val="100"/>
        <c:noMultiLvlLbl val="0"/>
      </c:catAx>
      <c:valAx>
        <c:axId val="40016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5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48</xdr:row>
      <xdr:rowOff>101973</xdr:rowOff>
    </xdr:from>
    <xdr:to>
      <xdr:col>5</xdr:col>
      <xdr:colOff>0</xdr:colOff>
      <xdr:row>68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1221441</xdr:colOff>
      <xdr:row>28</xdr:row>
      <xdr:rowOff>112059</xdr:rowOff>
    </xdr:from>
    <xdr:to>
      <xdr:col>4</xdr:col>
      <xdr:colOff>2241175</xdr:colOff>
      <xdr:row>48</xdr:row>
      <xdr:rowOff>47624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100852</xdr:colOff>
      <xdr:row>28</xdr:row>
      <xdr:rowOff>101974</xdr:rowOff>
    </xdr:from>
    <xdr:to>
      <xdr:col>2</xdr:col>
      <xdr:colOff>1154206</xdr:colOff>
      <xdr:row>48</xdr:row>
      <xdr:rowOff>44824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145675</xdr:colOff>
      <xdr:row>95</xdr:row>
      <xdr:rowOff>61912</xdr:rowOff>
    </xdr:from>
    <xdr:to>
      <xdr:col>4</xdr:col>
      <xdr:colOff>1804146</xdr:colOff>
      <xdr:row>132</xdr:row>
      <xdr:rowOff>134471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100852</xdr:colOff>
      <xdr:row>12</xdr:row>
      <xdr:rowOff>0</xdr:rowOff>
    </xdr:from>
    <xdr:to>
      <xdr:col>5</xdr:col>
      <xdr:colOff>1154206</xdr:colOff>
      <xdr:row>12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134470</xdr:colOff>
      <xdr:row>12</xdr:row>
      <xdr:rowOff>0</xdr:rowOff>
    </xdr:from>
    <xdr:to>
      <xdr:col>8</xdr:col>
      <xdr:colOff>11206</xdr:colOff>
      <xdr:row>12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Data" displayName="Table_Data" ref="A1:BP2" insertRow="1" totalsRowShown="0" headerRowDxfId="70" dataDxfId="69" tableBorderDxfId="68">
  <autoFilter ref="A1:BP2"/>
  <tableColumns count="68">
    <tableColumn id="1" name="RegistryNum" dataDxfId="67"/>
    <tableColumn id="2" name="DocumentStatus" dataDxfId="66"/>
    <tableColumn id="3" name="CFirstName" dataDxfId="65"/>
    <tableColumn id="4" name="CMiddleName" dataDxfId="64"/>
    <tableColumn id="5" name="CLastName" dataDxfId="63"/>
    <tableColumn id="6" name="CSexId" dataDxfId="62"/>
    <tableColumn id="7" name="CDeathDate" dataDxfId="61"/>
    <tableColumn id="8" name="CBirthDate" dataDxfId="60"/>
    <tableColumn id="9" name="CAgeYears" dataDxfId="59"/>
    <tableColumn id="10" name="CAgeMonths" dataDxfId="58"/>
    <tableColumn id="11" name="CAgeDays" dataDxfId="57"/>
    <tableColumn id="12" name="CAgeHours" dataDxfId="56"/>
    <tableColumn id="13" name="CAgeMinutes" dataDxfId="55"/>
    <tableColumn id="14" name="CDeathAddress" dataDxfId="54"/>
    <tableColumn id="15" name="CDeathMunicipality" dataDxfId="53"/>
    <tableColumn id="16" name="CDeathMunicipalityId" dataDxfId="52"/>
    <tableColumn id="17" name="CDeathProvince" dataDxfId="51"/>
    <tableColumn id="18" name="CDeathProvinceId" dataDxfId="50"/>
    <tableColumn id="19" name="CDeathCountry" dataDxfId="49"/>
    <tableColumn id="20" name="CDeathCountryId" dataDxfId="48"/>
    <tableColumn id="21" name="CCivilStatusId" dataDxfId="47"/>
    <tableColumn id="22" name="CReligion" dataDxfId="46"/>
    <tableColumn id="23" name="CCitizenship" dataDxfId="45"/>
    <tableColumn id="24" name="CResidenceAddress" dataDxfId="44"/>
    <tableColumn id="25" name="CResidenceMunicipality" dataDxfId="43"/>
    <tableColumn id="26" name="CResidenceMunicipalityId" dataDxfId="42"/>
    <tableColumn id="27" name="CResidenceProvince" dataDxfId="41"/>
    <tableColumn id="28" name="CResidenceProvinceId" dataDxfId="40"/>
    <tableColumn id="29" name="CResidenceCountry" dataDxfId="39"/>
    <tableColumn id="30" name="CResidenceCountryId" dataDxfId="38"/>
    <tableColumn id="31" name="COccupation" dataDxfId="37"/>
    <tableColumn id="32" name="FFirstName" dataDxfId="36"/>
    <tableColumn id="33" name="FMiddleName" dataDxfId="35"/>
    <tableColumn id="34" name="FLastName" dataDxfId="34"/>
    <tableColumn id="35" name="MFirstName" dataDxfId="33"/>
    <tableColumn id="36" name="MMiddleName" dataDxfId="32"/>
    <tableColumn id="37" name="MLastName" dataDxfId="31"/>
    <tableColumn id="38" name="CCauseImmediate" dataDxfId="30"/>
    <tableColumn id="39" name="CCauseImmediateId" dataDxfId="29"/>
    <tableColumn id="40" name="CCauseImmediateInterval" dataDxfId="28"/>
    <tableColumn id="41" name="CCauseAntecedent" dataDxfId="27"/>
    <tableColumn id="42" name="CCauseAntecedentId" dataDxfId="26"/>
    <tableColumn id="43" name="CCauseAntecedentInterval" dataDxfId="25"/>
    <tableColumn id="44" name="CCauseUnderlying" dataDxfId="24"/>
    <tableColumn id="45" name="CCauseUnderlyingId" dataDxfId="23"/>
    <tableColumn id="46" name="CCauseUnderlyingInterval" dataDxfId="22"/>
    <tableColumn id="47" name="CCauseOther" dataDxfId="21"/>
    <tableColumn id="48" name="CCauseOtherId" dataDxfId="20"/>
    <tableColumn id="49" name="AttendantId" dataDxfId="19"/>
    <tableColumn id="50" name="AttendantName" dataDxfId="18"/>
    <tableColumn id="51" name="AttendantTitle" dataDxfId="17"/>
    <tableColumn id="52" name="AttendantAttendedFrom" dataDxfId="16"/>
    <tableColumn id="53" name="PreparerName" dataDxfId="15"/>
    <tableColumn id="54" name="PreparerTitle" dataDxfId="14"/>
    <tableColumn id="55" name="PreparerDate" dataDxfId="13"/>
    <tableColumn id="56" name="DateReceived" dataDxfId="12"/>
    <tableColumn id="57" name="DateRegistered" dataDxfId="11"/>
    <tableColumn id="58" name="Week Number" dataDxfId="10"/>
    <tableColumn id="59" name="Week Start Date" dataDxfId="9"/>
    <tableColumn id="60" name="Week End Date" dataDxfId="8"/>
    <tableColumn id="61" name="Year" dataDxfId="7"/>
    <tableColumn id="62" name="Month" dataDxfId="6"/>
    <tableColumn id="63" name="Day" dataDxfId="5"/>
    <tableColumn id="64" name="AgeYearsNumeric" dataDxfId="4"/>
    <tableColumn id="65" name="AgeMonthsNumeric" dataDxfId="3"/>
    <tableColumn id="66" name="AgeDaysNumeric" dataDxfId="2"/>
    <tableColumn id="67" name="AgeHoursNumeric" dataDxfId="1"/>
    <tableColumn id="68" name="AgeMinutesNumer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"/>
  <sheetViews>
    <sheetView zoomScale="85" zoomScaleNormal="85" workbookViewId="0">
      <selection activeCell="E13" sqref="E13"/>
    </sheetView>
  </sheetViews>
  <sheetFormatPr defaultRowHeight="15" x14ac:dyDescent="0.25"/>
  <cols>
    <col min="1" max="1" width="15.140625" bestFit="1" customWidth="1"/>
    <col min="2" max="2" width="18.5703125" bestFit="1" customWidth="1"/>
    <col min="3" max="3" width="24" bestFit="1" customWidth="1"/>
    <col min="4" max="4" width="16.28515625" bestFit="1" customWidth="1"/>
    <col min="5" max="5" width="15.7109375" bestFit="1" customWidth="1"/>
    <col min="6" max="6" width="10" bestFit="1" customWidth="1"/>
    <col min="7" max="7" width="14.5703125" bestFit="1" customWidth="1"/>
    <col min="8" max="9" width="13.7109375" bestFit="1" customWidth="1"/>
    <col min="10" max="10" width="15.42578125" bestFit="1" customWidth="1"/>
    <col min="11" max="11" width="13.140625" bestFit="1" customWidth="1"/>
    <col min="12" max="12" width="14.140625" bestFit="1" customWidth="1"/>
    <col min="13" max="13" width="15.7109375" bestFit="1" customWidth="1"/>
    <col min="14" max="14" width="47.140625" bestFit="1" customWidth="1"/>
    <col min="15" max="15" width="42.28515625" bestFit="1" customWidth="1"/>
    <col min="16" max="16" width="22.7109375" bestFit="1" customWidth="1"/>
    <col min="17" max="17" width="18.42578125" bestFit="1" customWidth="1"/>
    <col min="18" max="18" width="20" bestFit="1" customWidth="1"/>
    <col min="19" max="19" width="17.42578125" bestFit="1" customWidth="1"/>
    <col min="20" max="20" width="19" bestFit="1" customWidth="1"/>
    <col min="21" max="21" width="16.5703125" bestFit="1" customWidth="1"/>
    <col min="22" max="22" width="53.42578125" bestFit="1" customWidth="1"/>
    <col min="23" max="23" width="15" bestFit="1" customWidth="1"/>
    <col min="24" max="24" width="62.42578125" bestFit="1" customWidth="1"/>
    <col min="25" max="25" width="53.7109375" bestFit="1" customWidth="1"/>
    <col min="26" max="26" width="26.7109375" bestFit="1" customWidth="1"/>
    <col min="27" max="27" width="23.7109375" bestFit="1" customWidth="1"/>
    <col min="28" max="28" width="24" bestFit="1" customWidth="1"/>
    <col min="29" max="29" width="21.42578125" bestFit="1" customWidth="1"/>
    <col min="30" max="30" width="23" bestFit="1" customWidth="1"/>
    <col min="31" max="31" width="34.5703125" bestFit="1" customWidth="1"/>
    <col min="32" max="32" width="20.42578125" bestFit="1" customWidth="1"/>
    <col min="33" max="33" width="16" bestFit="1" customWidth="1"/>
    <col min="34" max="34" width="15.28515625" bestFit="1" customWidth="1"/>
    <col min="35" max="35" width="17.140625" bestFit="1" customWidth="1"/>
    <col min="36" max="36" width="16.5703125" bestFit="1" customWidth="1"/>
    <col min="37" max="37" width="15.5703125" bestFit="1" customWidth="1"/>
    <col min="38" max="38" width="121.7109375" bestFit="1" customWidth="1"/>
    <col min="39" max="39" width="21.42578125" bestFit="1" customWidth="1"/>
    <col min="40" max="40" width="37.140625" bestFit="1" customWidth="1"/>
    <col min="41" max="41" width="163.5703125" bestFit="1" customWidth="1"/>
    <col min="42" max="42" width="22.42578125" bestFit="1" customWidth="1"/>
    <col min="43" max="43" width="64.7109375" bestFit="1" customWidth="1"/>
    <col min="44" max="44" width="137.140625" bestFit="1" customWidth="1"/>
    <col min="45" max="45" width="21.42578125" bestFit="1" customWidth="1"/>
    <col min="46" max="46" width="47.42578125" bestFit="1" customWidth="1"/>
    <col min="47" max="47" width="236.5703125" bestFit="1" customWidth="1"/>
    <col min="48" max="48" width="17.28515625" bestFit="1" customWidth="1"/>
    <col min="49" max="49" width="21.140625" bestFit="1" customWidth="1"/>
    <col min="50" max="50" width="46.42578125" bestFit="1" customWidth="1"/>
    <col min="51" max="51" width="26.140625" bestFit="1" customWidth="1"/>
    <col min="52" max="52" width="25.28515625" bestFit="1" customWidth="1"/>
    <col min="53" max="53" width="33.85546875" bestFit="1" customWidth="1"/>
    <col min="54" max="54" width="29.28515625" bestFit="1" customWidth="1"/>
    <col min="55" max="55" width="15.5703125" bestFit="1" customWidth="1"/>
    <col min="56" max="56" width="16.28515625" bestFit="1" customWidth="1"/>
    <col min="57" max="57" width="17.5703125" bestFit="1" customWidth="1"/>
    <col min="58" max="58" width="15.7109375" bestFit="1" customWidth="1"/>
    <col min="59" max="59" width="18.140625" bestFit="1" customWidth="1"/>
    <col min="60" max="60" width="17.140625" bestFit="1" customWidth="1"/>
    <col min="61" max="61" width="8" bestFit="1" customWidth="1"/>
    <col min="62" max="62" width="9.7109375" bestFit="1" customWidth="1"/>
    <col min="63" max="63" width="7.42578125" bestFit="1" customWidth="1"/>
    <col min="64" max="64" width="19.5703125" bestFit="1" customWidth="1"/>
    <col min="65" max="65" width="21.42578125" bestFit="1" customWidth="1"/>
    <col min="66" max="66" width="19" bestFit="1" customWidth="1"/>
    <col min="67" max="67" width="20" bestFit="1" customWidth="1"/>
    <col min="68" max="68" width="21.85546875" bestFit="1" customWidth="1"/>
  </cols>
  <sheetData>
    <row r="1" spans="1:68" x14ac:dyDescent="0.25">
      <c r="A1" s="33" t="s">
        <v>65</v>
      </c>
      <c r="B1" s="33" t="s">
        <v>66</v>
      </c>
      <c r="C1" s="33" t="s">
        <v>67</v>
      </c>
      <c r="D1" s="33" t="s">
        <v>68</v>
      </c>
      <c r="E1" s="33" t="s">
        <v>69</v>
      </c>
      <c r="F1" s="33" t="s">
        <v>70</v>
      </c>
      <c r="G1" s="33" t="s">
        <v>71</v>
      </c>
      <c r="H1" s="33" t="s">
        <v>72</v>
      </c>
      <c r="I1" s="33" t="s">
        <v>73</v>
      </c>
      <c r="J1" s="33" t="s">
        <v>74</v>
      </c>
      <c r="K1" s="33" t="s">
        <v>75</v>
      </c>
      <c r="L1" s="33" t="s">
        <v>76</v>
      </c>
      <c r="M1" s="33" t="s">
        <v>77</v>
      </c>
      <c r="N1" s="33" t="s">
        <v>78</v>
      </c>
      <c r="O1" s="33" t="s">
        <v>79</v>
      </c>
      <c r="P1" s="33" t="s">
        <v>80</v>
      </c>
      <c r="Q1" s="33" t="s">
        <v>81</v>
      </c>
      <c r="R1" s="33" t="s">
        <v>82</v>
      </c>
      <c r="S1" s="33" t="s">
        <v>83</v>
      </c>
      <c r="T1" s="33" t="s">
        <v>84</v>
      </c>
      <c r="U1" s="33" t="s">
        <v>85</v>
      </c>
      <c r="V1" s="33" t="s">
        <v>86</v>
      </c>
      <c r="W1" s="33" t="s">
        <v>87</v>
      </c>
      <c r="X1" s="33" t="s">
        <v>88</v>
      </c>
      <c r="Y1" s="33" t="s">
        <v>89</v>
      </c>
      <c r="Z1" s="33" t="s">
        <v>90</v>
      </c>
      <c r="AA1" s="33" t="s">
        <v>91</v>
      </c>
      <c r="AB1" s="33" t="s">
        <v>92</v>
      </c>
      <c r="AC1" s="33" t="s">
        <v>93</v>
      </c>
      <c r="AD1" s="33" t="s">
        <v>94</v>
      </c>
      <c r="AE1" s="33" t="s">
        <v>95</v>
      </c>
      <c r="AF1" s="33" t="s">
        <v>96</v>
      </c>
      <c r="AG1" s="33" t="s">
        <v>97</v>
      </c>
      <c r="AH1" s="33" t="s">
        <v>98</v>
      </c>
      <c r="AI1" s="33" t="s">
        <v>99</v>
      </c>
      <c r="AJ1" s="33" t="s">
        <v>100</v>
      </c>
      <c r="AK1" s="33" t="s">
        <v>101</v>
      </c>
      <c r="AL1" s="33" t="s">
        <v>102</v>
      </c>
      <c r="AM1" s="33" t="s">
        <v>103</v>
      </c>
      <c r="AN1" s="33" t="s">
        <v>104</v>
      </c>
      <c r="AO1" s="33" t="s">
        <v>105</v>
      </c>
      <c r="AP1" s="33" t="s">
        <v>106</v>
      </c>
      <c r="AQ1" s="33" t="s">
        <v>107</v>
      </c>
      <c r="AR1" s="33" t="s">
        <v>108</v>
      </c>
      <c r="AS1" s="33" t="s">
        <v>109</v>
      </c>
      <c r="AT1" s="33" t="s">
        <v>110</v>
      </c>
      <c r="AU1" s="33" t="s">
        <v>111</v>
      </c>
      <c r="AV1" s="33" t="s">
        <v>112</v>
      </c>
      <c r="AW1" s="33" t="s">
        <v>113</v>
      </c>
      <c r="AX1" s="33" t="s">
        <v>114</v>
      </c>
      <c r="AY1" s="33" t="s">
        <v>115</v>
      </c>
      <c r="AZ1" s="33" t="s">
        <v>116</v>
      </c>
      <c r="BA1" s="33" t="s">
        <v>117</v>
      </c>
      <c r="BB1" s="33" t="s">
        <v>118</v>
      </c>
      <c r="BC1" s="33" t="s">
        <v>119</v>
      </c>
      <c r="BD1" s="33" t="s">
        <v>120</v>
      </c>
      <c r="BE1" s="33" t="s">
        <v>121</v>
      </c>
      <c r="BF1" s="33" t="s">
        <v>122</v>
      </c>
      <c r="BG1" s="33" t="s">
        <v>123</v>
      </c>
      <c r="BH1" s="33" t="s">
        <v>124</v>
      </c>
      <c r="BI1" s="33" t="s">
        <v>125</v>
      </c>
      <c r="BJ1" s="33" t="s">
        <v>15</v>
      </c>
      <c r="BK1" s="33" t="s">
        <v>126</v>
      </c>
      <c r="BL1" s="33" t="s">
        <v>127</v>
      </c>
      <c r="BM1" s="33" t="s">
        <v>128</v>
      </c>
      <c r="BN1" s="33" t="s">
        <v>129</v>
      </c>
      <c r="BO1" s="33" t="s">
        <v>130</v>
      </c>
      <c r="BP1" s="33" t="s">
        <v>131</v>
      </c>
    </row>
    <row r="2" spans="1:68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0"/>
  <sheetViews>
    <sheetView showGridLines="0" tabSelected="1" view="pageBreakPreview" topLeftCell="A34" zoomScale="85" zoomScaleNormal="100" zoomScaleSheetLayoutView="85" workbookViewId="0">
      <selection activeCell="M37" sqref="M37"/>
    </sheetView>
  </sheetViews>
  <sheetFormatPr defaultRowHeight="15" x14ac:dyDescent="0.25"/>
  <cols>
    <col min="1" max="1" width="2.140625" customWidth="1"/>
    <col min="2" max="2" width="35.28515625" customWidth="1"/>
    <col min="3" max="5" width="27.140625" customWidth="1"/>
    <col min="6" max="6" width="1.5703125" customWidth="1"/>
    <col min="7" max="7" width="2.7109375" customWidth="1"/>
  </cols>
  <sheetData>
    <row r="1" spans="2:13" x14ac:dyDescent="0.25">
      <c r="B1" s="35"/>
      <c r="C1" s="35"/>
      <c r="D1" s="35"/>
      <c r="E1" s="35"/>
    </row>
    <row r="2" spans="2:13" x14ac:dyDescent="0.25">
      <c r="B2" s="39" t="s">
        <v>22</v>
      </c>
      <c r="C2" s="39"/>
      <c r="D2" s="39"/>
      <c r="E2" s="39"/>
    </row>
    <row r="3" spans="2:13" x14ac:dyDescent="0.25">
      <c r="B3" s="39"/>
      <c r="C3" s="39"/>
      <c r="D3" s="39"/>
      <c r="E3" s="39"/>
    </row>
    <row r="4" spans="2:13" x14ac:dyDescent="0.25">
      <c r="B4" s="39" t="s">
        <v>23</v>
      </c>
      <c r="C4" s="39"/>
      <c r="D4" s="39"/>
      <c r="E4" s="39"/>
    </row>
    <row r="5" spans="2:13" x14ac:dyDescent="0.25">
      <c r="B5" s="35"/>
      <c r="C5" s="35"/>
      <c r="D5" s="35"/>
      <c r="E5" s="35"/>
    </row>
    <row r="6" spans="2:13" x14ac:dyDescent="0.25">
      <c r="B6" s="35"/>
      <c r="C6" s="35"/>
      <c r="D6" s="35"/>
      <c r="E6" s="35"/>
    </row>
    <row r="7" spans="2:13" ht="15.75" thickBot="1" x14ac:dyDescent="0.3">
      <c r="B7" s="36"/>
      <c r="C7" s="36"/>
      <c r="D7" s="36"/>
      <c r="E7" s="36"/>
    </row>
    <row r="8" spans="2:13" ht="8.25" customHeight="1" thickTop="1" x14ac:dyDescent="0.25"/>
    <row r="9" spans="2:13" x14ac:dyDescent="0.25">
      <c r="B9" s="37" t="str">
        <f>'Data Source'!BI2 &amp; " : " &amp; " DEATH REGISTRATION STATISTICS REPORTS"</f>
        <v xml:space="preserve"> :  DEATH REGISTRATION STATISTICS REPORTS</v>
      </c>
      <c r="C9" s="37"/>
      <c r="D9" s="37"/>
      <c r="E9" s="37"/>
    </row>
    <row r="10" spans="2:13" x14ac:dyDescent="0.25">
      <c r="B10" s="37"/>
      <c r="C10" s="37"/>
      <c r="D10" s="37"/>
      <c r="E10" s="37"/>
    </row>
    <row r="11" spans="2:13" ht="15.75" thickBot="1" x14ac:dyDescent="0.3"/>
    <row r="12" spans="2:13" s="26" customFormat="1" ht="22.5" customHeight="1" thickBot="1" x14ac:dyDescent="0.3">
      <c r="B12" s="23" t="s">
        <v>28</v>
      </c>
      <c r="C12" s="24"/>
      <c r="D12" s="24"/>
      <c r="E12" s="25"/>
    </row>
    <row r="13" spans="2:13" ht="15.75" thickBot="1" x14ac:dyDescent="0.3">
      <c r="L13" s="35" t="s">
        <v>21</v>
      </c>
      <c r="M13" s="35"/>
    </row>
    <row r="14" spans="2:13" ht="34.5" customHeight="1" x14ac:dyDescent="0.25">
      <c r="B14" s="12" t="s">
        <v>15</v>
      </c>
      <c r="C14" s="13" t="s">
        <v>17</v>
      </c>
      <c r="D14" s="13" t="s">
        <v>1</v>
      </c>
      <c r="E14" s="14" t="s">
        <v>0</v>
      </c>
      <c r="L14" s="34" t="s">
        <v>18</v>
      </c>
      <c r="M14" s="34"/>
    </row>
    <row r="15" spans="2:13" ht="20.25" customHeight="1" x14ac:dyDescent="0.25">
      <c r="B15" s="9" t="s">
        <v>3</v>
      </c>
      <c r="C15" s="4">
        <f>++COUNTIFS('Data Source'!$F:$F,'Statistic Reports'!C$14,'Data Source'!$BJ:$BJ,'Statistic Reports'!$L15)</f>
        <v>0</v>
      </c>
      <c r="D15" s="4">
        <f>++COUNTIFS('Data Source'!$F:$F,'Statistic Reports'!D$14,'Data Source'!$BJ:$BJ,'Statistic Reports'!$L15)</f>
        <v>0</v>
      </c>
      <c r="E15" s="15">
        <f>D15+C15</f>
        <v>0</v>
      </c>
      <c r="L15">
        <v>1</v>
      </c>
    </row>
    <row r="16" spans="2:13" ht="20.25" customHeight="1" x14ac:dyDescent="0.25">
      <c r="B16" s="9" t="s">
        <v>4</v>
      </c>
      <c r="C16" s="4">
        <f>++COUNTIFS('Data Source'!$F:$F,'Statistic Reports'!C$14,'Data Source'!$BJ:$BJ,'Statistic Reports'!$L16)</f>
        <v>0</v>
      </c>
      <c r="D16" s="4">
        <f>++COUNTIFS('Data Source'!$F:$F,'Statistic Reports'!D$14,'Data Source'!$BJ:$BJ,'Statistic Reports'!$L16)</f>
        <v>0</v>
      </c>
      <c r="E16" s="15">
        <f t="shared" ref="E16:E26" si="0">+D16+C16</f>
        <v>0</v>
      </c>
      <c r="L16">
        <v>2</v>
      </c>
    </row>
    <row r="17" spans="2:12" ht="20.25" customHeight="1" x14ac:dyDescent="0.25">
      <c r="B17" s="9" t="s">
        <v>5</v>
      </c>
      <c r="C17" s="4">
        <f>++COUNTIFS('Data Source'!$F:$F,'Statistic Reports'!C$14,'Data Source'!$BJ:$BJ,'Statistic Reports'!$L17)</f>
        <v>0</v>
      </c>
      <c r="D17" s="4">
        <f>++COUNTIFS('Data Source'!$F:$F,'Statistic Reports'!D$14,'Data Source'!$BJ:$BJ,'Statistic Reports'!$L17)</f>
        <v>0</v>
      </c>
      <c r="E17" s="15">
        <f t="shared" si="0"/>
        <v>0</v>
      </c>
      <c r="L17">
        <v>3</v>
      </c>
    </row>
    <row r="18" spans="2:12" ht="20.25" customHeight="1" x14ac:dyDescent="0.25">
      <c r="B18" s="9" t="s">
        <v>6</v>
      </c>
      <c r="C18" s="4">
        <f>++COUNTIFS('Data Source'!$F:$F,'Statistic Reports'!C$14,'Data Source'!$BJ:$BJ,'Statistic Reports'!$L18)</f>
        <v>0</v>
      </c>
      <c r="D18" s="4">
        <f>++COUNTIFS('Data Source'!$F:$F,'Statistic Reports'!D$14,'Data Source'!$BJ:$BJ,'Statistic Reports'!$L18)</f>
        <v>0</v>
      </c>
      <c r="E18" s="15">
        <f t="shared" si="0"/>
        <v>0</v>
      </c>
      <c r="L18">
        <v>4</v>
      </c>
    </row>
    <row r="19" spans="2:12" ht="20.25" customHeight="1" x14ac:dyDescent="0.25">
      <c r="B19" s="9" t="s">
        <v>7</v>
      </c>
      <c r="C19" s="4">
        <f>++COUNTIFS('Data Source'!$F:$F,'Statistic Reports'!C$14,'Data Source'!$BJ:$BJ,'Statistic Reports'!$L19)</f>
        <v>0</v>
      </c>
      <c r="D19" s="4">
        <f>++COUNTIFS('Data Source'!$F:$F,'Statistic Reports'!D$14,'Data Source'!$BJ:$BJ,'Statistic Reports'!$L19)</f>
        <v>0</v>
      </c>
      <c r="E19" s="15">
        <f t="shared" si="0"/>
        <v>0</v>
      </c>
      <c r="L19">
        <v>5</v>
      </c>
    </row>
    <row r="20" spans="2:12" ht="20.25" customHeight="1" x14ac:dyDescent="0.25">
      <c r="B20" s="9" t="s">
        <v>8</v>
      </c>
      <c r="C20" s="4">
        <f>++COUNTIFS('Data Source'!$F:$F,'Statistic Reports'!C$14,'Data Source'!$BJ:$BJ,'Statistic Reports'!$L20)</f>
        <v>0</v>
      </c>
      <c r="D20" s="4">
        <f>++COUNTIFS('Data Source'!$F:$F,'Statistic Reports'!D$14,'Data Source'!$BJ:$BJ,'Statistic Reports'!$L20)</f>
        <v>0</v>
      </c>
      <c r="E20" s="15">
        <f t="shared" si="0"/>
        <v>0</v>
      </c>
      <c r="L20">
        <v>6</v>
      </c>
    </row>
    <row r="21" spans="2:12" ht="20.25" customHeight="1" x14ac:dyDescent="0.25">
      <c r="B21" s="9" t="s">
        <v>9</v>
      </c>
      <c r="C21" s="4">
        <f>++COUNTIFS('Data Source'!$F:$F,'Statistic Reports'!C$14,'Data Source'!$BJ:$BJ,'Statistic Reports'!$L21)</f>
        <v>0</v>
      </c>
      <c r="D21" s="4">
        <f>++COUNTIFS('Data Source'!$F:$F,'Statistic Reports'!D$14,'Data Source'!$BJ:$BJ,'Statistic Reports'!$L21)</f>
        <v>0</v>
      </c>
      <c r="E21" s="15">
        <f t="shared" si="0"/>
        <v>0</v>
      </c>
      <c r="L21">
        <v>7</v>
      </c>
    </row>
    <row r="22" spans="2:12" ht="20.25" customHeight="1" x14ac:dyDescent="0.25">
      <c r="B22" s="9" t="s">
        <v>10</v>
      </c>
      <c r="C22" s="4">
        <f>++COUNTIFS('Data Source'!$F:$F,'Statistic Reports'!C$14,'Data Source'!$BJ:$BJ,'Statistic Reports'!$L22)</f>
        <v>0</v>
      </c>
      <c r="D22" s="4">
        <f>++COUNTIFS('Data Source'!$F:$F,'Statistic Reports'!D$14,'Data Source'!$BJ:$BJ,'Statistic Reports'!$L22)</f>
        <v>0</v>
      </c>
      <c r="E22" s="15">
        <f t="shared" si="0"/>
        <v>0</v>
      </c>
      <c r="L22">
        <v>8</v>
      </c>
    </row>
    <row r="23" spans="2:12" ht="20.25" customHeight="1" x14ac:dyDescent="0.25">
      <c r="B23" s="9" t="s">
        <v>11</v>
      </c>
      <c r="C23" s="4">
        <f>++COUNTIFS('Data Source'!$F:$F,'Statistic Reports'!C$14,'Data Source'!$BJ:$BJ,'Statistic Reports'!$L23)</f>
        <v>0</v>
      </c>
      <c r="D23" s="4">
        <f>++COUNTIFS('Data Source'!$F:$F,'Statistic Reports'!D$14,'Data Source'!$BJ:$BJ,'Statistic Reports'!$L23)</f>
        <v>0</v>
      </c>
      <c r="E23" s="15">
        <f t="shared" si="0"/>
        <v>0</v>
      </c>
      <c r="L23">
        <v>9</v>
      </c>
    </row>
    <row r="24" spans="2:12" ht="20.25" customHeight="1" x14ac:dyDescent="0.25">
      <c r="B24" s="9" t="s">
        <v>12</v>
      </c>
      <c r="C24" s="4">
        <f>++COUNTIFS('Data Source'!$F:$F,'Statistic Reports'!C$14,'Data Source'!$BJ:$BJ,'Statistic Reports'!$L24)</f>
        <v>0</v>
      </c>
      <c r="D24" s="4">
        <f>++COUNTIFS('Data Source'!$F:$F,'Statistic Reports'!D$14,'Data Source'!$BJ:$BJ,'Statistic Reports'!$L24)</f>
        <v>0</v>
      </c>
      <c r="E24" s="15">
        <f t="shared" si="0"/>
        <v>0</v>
      </c>
      <c r="L24">
        <v>10</v>
      </c>
    </row>
    <row r="25" spans="2:12" ht="20.25" customHeight="1" x14ac:dyDescent="0.25">
      <c r="B25" s="9" t="s">
        <v>13</v>
      </c>
      <c r="C25" s="4">
        <f>++COUNTIFS('Data Source'!$F:$F,'Statistic Reports'!C$14,'Data Source'!$BJ:$BJ,'Statistic Reports'!$L25)</f>
        <v>0</v>
      </c>
      <c r="D25" s="4">
        <f>++COUNTIFS('Data Source'!$F:$F,'Statistic Reports'!D$14,'Data Source'!$BJ:$BJ,'Statistic Reports'!$L25)</f>
        <v>0</v>
      </c>
      <c r="E25" s="15">
        <f t="shared" si="0"/>
        <v>0</v>
      </c>
      <c r="L25">
        <v>11</v>
      </c>
    </row>
    <row r="26" spans="2:12" ht="20.25" customHeight="1" x14ac:dyDescent="0.25">
      <c r="B26" s="9" t="s">
        <v>14</v>
      </c>
      <c r="C26" s="4">
        <f>++COUNTIFS('Data Source'!$F:$F,'Statistic Reports'!C$14,'Data Source'!$BJ:$BJ,'Statistic Reports'!$L26)</f>
        <v>0</v>
      </c>
      <c r="D26" s="4">
        <f>++COUNTIFS('Data Source'!$F:$F,'Statistic Reports'!D$14,'Data Source'!$BJ:$BJ,'Statistic Reports'!$L26)</f>
        <v>0</v>
      </c>
      <c r="E26" s="15">
        <f t="shared" si="0"/>
        <v>0</v>
      </c>
      <c r="K26" t="s">
        <v>16</v>
      </c>
      <c r="L26">
        <v>12</v>
      </c>
    </row>
    <row r="27" spans="2:12" ht="8.25" customHeight="1" x14ac:dyDescent="0.25">
      <c r="B27" s="10"/>
      <c r="C27" s="7"/>
      <c r="D27" s="8"/>
      <c r="E27" s="5" t="e">
        <f>+#REF!</f>
        <v>#REF!</v>
      </c>
    </row>
    <row r="28" spans="2:12" s="22" customFormat="1" ht="21.75" customHeight="1" thickBot="1" x14ac:dyDescent="0.35">
      <c r="B28" s="19" t="s">
        <v>2</v>
      </c>
      <c r="C28" s="20">
        <f t="shared" ref="C28:E28" si="1">++SUM(C15:C26)</f>
        <v>0</v>
      </c>
      <c r="D28" s="20">
        <f t="shared" si="1"/>
        <v>0</v>
      </c>
      <c r="E28" s="21">
        <f t="shared" si="1"/>
        <v>0</v>
      </c>
    </row>
    <row r="45" spans="2:2" x14ac:dyDescent="0.25">
      <c r="B45" s="11"/>
    </row>
    <row r="50" spans="2:5" x14ac:dyDescent="0.25">
      <c r="B50" s="38"/>
      <c r="D50" s="1"/>
      <c r="E50" s="1"/>
    </row>
    <row r="51" spans="2:5" ht="30" customHeight="1" x14ac:dyDescent="0.25">
      <c r="B51" s="38"/>
      <c r="D51" s="2"/>
      <c r="E51" s="3"/>
    </row>
    <row r="70" spans="2:13" ht="15.75" thickBot="1" x14ac:dyDescent="0.3"/>
    <row r="71" spans="2:13" s="26" customFormat="1" ht="22.5" customHeight="1" thickBot="1" x14ac:dyDescent="0.3">
      <c r="B71" s="23" t="s">
        <v>132</v>
      </c>
      <c r="C71" s="24"/>
      <c r="D71" s="24"/>
      <c r="E71" s="25"/>
    </row>
    <row r="72" spans="2:13" ht="15.75" thickBot="1" x14ac:dyDescent="0.3"/>
    <row r="73" spans="2:13" ht="34.5" customHeight="1" x14ac:dyDescent="0.25">
      <c r="B73" s="17" t="s">
        <v>20</v>
      </c>
      <c r="C73" s="18" t="s">
        <v>17</v>
      </c>
      <c r="D73" s="18" t="s">
        <v>19</v>
      </c>
      <c r="E73" s="14" t="s">
        <v>0</v>
      </c>
      <c r="J73" t="s">
        <v>50</v>
      </c>
      <c r="K73" t="s">
        <v>1</v>
      </c>
      <c r="L73" s="34" t="s">
        <v>18</v>
      </c>
      <c r="M73" s="34"/>
    </row>
    <row r="74" spans="2:13" ht="20.25" customHeight="1" x14ac:dyDescent="0.25">
      <c r="B74" s="9" t="s">
        <v>29</v>
      </c>
      <c r="C74" s="4">
        <f>++COUNTIFS('Data Source'!$F:$F,'Statistic Reports'!C$73,'Data Source'!$BL:$BL,"&lt;="&amp;'Statistic Reports'!$L74,'Data Source'!$BL:$BL,"&lt;="&amp;'Statistic Reports'!$M74)</f>
        <v>0</v>
      </c>
      <c r="D74" s="4">
        <f>++COUNTIFS('Data Source'!$F:$F,'Statistic Reports'!D$73,'Data Source'!$BL:$BL,"&lt;="&amp;'Statistic Reports'!$L74,'Data Source'!$BL:$BL,"&lt;="&amp;'Statistic Reports'!$M74)</f>
        <v>0</v>
      </c>
      <c r="E74" s="27">
        <f>+D74+C74</f>
        <v>0</v>
      </c>
      <c r="J74" t="s">
        <v>51</v>
      </c>
      <c r="K74" t="s">
        <v>51</v>
      </c>
      <c r="L74">
        <v>0</v>
      </c>
      <c r="M74">
        <v>0</v>
      </c>
    </row>
    <row r="75" spans="2:13" ht="20.25" customHeight="1" x14ac:dyDescent="0.25">
      <c r="B75" s="9" t="s">
        <v>30</v>
      </c>
      <c r="C75" s="4">
        <f>++COUNTIFS('Data Source'!$F:$F,'Statistic Reports'!C$73,'Data Source'!$BL:$BL,"&gt;="&amp;'Statistic Reports'!$L75,'Data Source'!$BL:$BL,"&lt;="&amp;'Statistic Reports'!$M75)</f>
        <v>0</v>
      </c>
      <c r="D75" s="4">
        <f>++COUNTIFS('Data Source'!$F:$F,'Statistic Reports'!D$73,'Data Source'!$BL:$BL,"&gt;="&amp;'Statistic Reports'!$L75,'Data Source'!$BL:$BL,"&lt;="&amp;'Statistic Reports'!$M75)</f>
        <v>0</v>
      </c>
      <c r="E75" s="27">
        <f t="shared" ref="E75:E93" si="2">+D75+C75</f>
        <v>0</v>
      </c>
      <c r="L75">
        <v>1</v>
      </c>
      <c r="M75">
        <v>4</v>
      </c>
    </row>
    <row r="76" spans="2:13" ht="20.25" customHeight="1" x14ac:dyDescent="0.25">
      <c r="B76" s="9" t="s">
        <v>31</v>
      </c>
      <c r="C76" s="4">
        <f>++COUNTIFS('Data Source'!$F:$F,'Statistic Reports'!C$73,'Data Source'!$BL:$BL,"&gt;="&amp;'Statistic Reports'!$L76,'Data Source'!$BL:$BL,"&lt;="&amp;'Statistic Reports'!$M76)</f>
        <v>0</v>
      </c>
      <c r="D76" s="4">
        <f>++COUNTIFS('Data Source'!$F:$F,'Statistic Reports'!D$73,'Data Source'!$BL:$BL,"&gt;="&amp;'Statistic Reports'!$L76,'Data Source'!$BL:$BL,"&lt;="&amp;'Statistic Reports'!$M76)</f>
        <v>0</v>
      </c>
      <c r="E76" s="27">
        <f t="shared" si="2"/>
        <v>0</v>
      </c>
      <c r="L76">
        <f>+M75+1</f>
        <v>5</v>
      </c>
      <c r="M76">
        <f>+L76+4</f>
        <v>9</v>
      </c>
    </row>
    <row r="77" spans="2:13" ht="20.25" customHeight="1" x14ac:dyDescent="0.25">
      <c r="B77" s="9" t="s">
        <v>32</v>
      </c>
      <c r="C77" s="4">
        <f>++COUNTIFS('Data Source'!$F:$F,'Statistic Reports'!C$73,'Data Source'!$BL:$BL,"&gt;="&amp;'Statistic Reports'!$L77,'Data Source'!$BL:$BL,"&lt;="&amp;'Statistic Reports'!$M77)</f>
        <v>0</v>
      </c>
      <c r="D77" s="4">
        <f>++COUNTIFS('Data Source'!$F:$F,'Statistic Reports'!D$73,'Data Source'!$BL:$BL,"&gt;="&amp;'Statistic Reports'!$L77,'Data Source'!$BL:$BL,"&lt;="&amp;'Statistic Reports'!$M77)</f>
        <v>0</v>
      </c>
      <c r="E77" s="27">
        <f t="shared" si="2"/>
        <v>0</v>
      </c>
      <c r="L77">
        <f t="shared" ref="L77:L93" si="3">+M76+1</f>
        <v>10</v>
      </c>
      <c r="M77">
        <f t="shared" ref="M77:M90" si="4">+L77+4</f>
        <v>14</v>
      </c>
    </row>
    <row r="78" spans="2:13" ht="20.25" customHeight="1" x14ac:dyDescent="0.25">
      <c r="B78" s="9" t="s">
        <v>33</v>
      </c>
      <c r="C78" s="4">
        <f>++COUNTIFS('Data Source'!$F:$F,'Statistic Reports'!C$73,'Data Source'!$BL:$BL,"&gt;="&amp;'Statistic Reports'!$L78,'Data Source'!$BL:$BL,"&lt;="&amp;'Statistic Reports'!$M78)</f>
        <v>0</v>
      </c>
      <c r="D78" s="4">
        <f>++COUNTIFS('Data Source'!$F:$F,'Statistic Reports'!D$73,'Data Source'!$BL:$BL,"&gt;="&amp;'Statistic Reports'!$L78,'Data Source'!$BL:$BL,"&lt;="&amp;'Statistic Reports'!$M78)</f>
        <v>0</v>
      </c>
      <c r="E78" s="27">
        <f t="shared" si="2"/>
        <v>0</v>
      </c>
      <c r="L78">
        <f t="shared" si="3"/>
        <v>15</v>
      </c>
      <c r="M78">
        <f t="shared" si="4"/>
        <v>19</v>
      </c>
    </row>
    <row r="79" spans="2:13" ht="20.25" customHeight="1" x14ac:dyDescent="0.25">
      <c r="B79" s="9" t="s">
        <v>34</v>
      </c>
      <c r="C79" s="4">
        <f>++COUNTIFS('Data Source'!$F:$F,'Statistic Reports'!C$73,'Data Source'!$BL:$BL,"&gt;="&amp;'Statistic Reports'!$L79,'Data Source'!$BL:$BL,"&lt;="&amp;'Statistic Reports'!$M79)</f>
        <v>0</v>
      </c>
      <c r="D79" s="4">
        <f>++COUNTIFS('Data Source'!$F:$F,'Statistic Reports'!D$73,'Data Source'!$BL:$BL,"&gt;="&amp;'Statistic Reports'!$L79,'Data Source'!$BL:$BL,"&lt;="&amp;'Statistic Reports'!$M79)</f>
        <v>0</v>
      </c>
      <c r="E79" s="27">
        <f t="shared" si="2"/>
        <v>0</v>
      </c>
      <c r="L79">
        <f t="shared" si="3"/>
        <v>20</v>
      </c>
      <c r="M79">
        <f t="shared" si="4"/>
        <v>24</v>
      </c>
    </row>
    <row r="80" spans="2:13" ht="20.25" customHeight="1" x14ac:dyDescent="0.25">
      <c r="B80" s="9" t="s">
        <v>35</v>
      </c>
      <c r="C80" s="4">
        <f>++COUNTIFS('Data Source'!$F:$F,'Statistic Reports'!C$73,'Data Source'!$BL:$BL,"&gt;="&amp;'Statistic Reports'!$L80,'Data Source'!$BL:$BL,"&lt;="&amp;'Statistic Reports'!$M80)</f>
        <v>0</v>
      </c>
      <c r="D80" s="4">
        <f>++COUNTIFS('Data Source'!$F:$F,'Statistic Reports'!D$73,'Data Source'!$BL:$BL,"&gt;="&amp;'Statistic Reports'!$L80,'Data Source'!$BL:$BL,"&lt;="&amp;'Statistic Reports'!$M80)</f>
        <v>0</v>
      </c>
      <c r="E80" s="27">
        <f t="shared" si="2"/>
        <v>0</v>
      </c>
      <c r="L80">
        <f t="shared" si="3"/>
        <v>25</v>
      </c>
      <c r="M80">
        <f t="shared" si="4"/>
        <v>29</v>
      </c>
    </row>
    <row r="81" spans="2:13" ht="20.25" customHeight="1" x14ac:dyDescent="0.25">
      <c r="B81" s="9" t="s">
        <v>36</v>
      </c>
      <c r="C81" s="4">
        <f>++COUNTIFS('Data Source'!$F:$F,'Statistic Reports'!C$73,'Data Source'!$BL:$BL,"&gt;="&amp;'Statistic Reports'!$L81,'Data Source'!$BL:$BL,"&lt;="&amp;'Statistic Reports'!$M81)</f>
        <v>0</v>
      </c>
      <c r="D81" s="4">
        <f>++COUNTIFS('Data Source'!$F:$F,'Statistic Reports'!D$73,'Data Source'!$BL:$BL,"&gt;="&amp;'Statistic Reports'!$L81,'Data Source'!$BL:$BL,"&lt;="&amp;'Statistic Reports'!$M81)</f>
        <v>0</v>
      </c>
      <c r="E81" s="27">
        <f t="shared" si="2"/>
        <v>0</v>
      </c>
      <c r="L81">
        <f t="shared" si="3"/>
        <v>30</v>
      </c>
      <c r="M81">
        <f t="shared" si="4"/>
        <v>34</v>
      </c>
    </row>
    <row r="82" spans="2:13" ht="20.25" customHeight="1" x14ac:dyDescent="0.25">
      <c r="B82" s="9" t="s">
        <v>37</v>
      </c>
      <c r="C82" s="4">
        <f>++COUNTIFS('Data Source'!$F:$F,'Statistic Reports'!C$73,'Data Source'!$BL:$BL,"&gt;="&amp;'Statistic Reports'!$L82,'Data Source'!$BL:$BL,"&lt;="&amp;'Statistic Reports'!$M82)</f>
        <v>0</v>
      </c>
      <c r="D82" s="4">
        <f>++COUNTIFS('Data Source'!$F:$F,'Statistic Reports'!D$73,'Data Source'!$BL:$BL,"&gt;="&amp;'Statistic Reports'!$L82,'Data Source'!$BL:$BL,"&lt;="&amp;'Statistic Reports'!$M82)</f>
        <v>0</v>
      </c>
      <c r="E82" s="27">
        <f t="shared" si="2"/>
        <v>0</v>
      </c>
      <c r="L82">
        <f t="shared" si="3"/>
        <v>35</v>
      </c>
      <c r="M82">
        <f t="shared" si="4"/>
        <v>39</v>
      </c>
    </row>
    <row r="83" spans="2:13" ht="20.25" customHeight="1" x14ac:dyDescent="0.25">
      <c r="B83" s="9" t="s">
        <v>38</v>
      </c>
      <c r="C83" s="4">
        <f>++COUNTIFS('Data Source'!$F:$F,'Statistic Reports'!C$73,'Data Source'!$BL:$BL,"&gt;="&amp;'Statistic Reports'!$L83,'Data Source'!$BL:$BL,"&lt;="&amp;'Statistic Reports'!$M83)</f>
        <v>0</v>
      </c>
      <c r="D83" s="4">
        <f>++COUNTIFS('Data Source'!$F:$F,'Statistic Reports'!D$73,'Data Source'!$BL:$BL,"&gt;="&amp;'Statistic Reports'!$L83,'Data Source'!$BL:$BL,"&lt;="&amp;'Statistic Reports'!$M83)</f>
        <v>0</v>
      </c>
      <c r="E83" s="27">
        <f t="shared" si="2"/>
        <v>0</v>
      </c>
      <c r="L83">
        <f t="shared" si="3"/>
        <v>40</v>
      </c>
      <c r="M83">
        <f t="shared" si="4"/>
        <v>44</v>
      </c>
    </row>
    <row r="84" spans="2:13" ht="20.25" customHeight="1" x14ac:dyDescent="0.25">
      <c r="B84" s="9" t="s">
        <v>39</v>
      </c>
      <c r="C84" s="4">
        <f>++COUNTIFS('Data Source'!$F:$F,'Statistic Reports'!C$73,'Data Source'!$BL:$BL,"&gt;="&amp;'Statistic Reports'!$L84,'Data Source'!$BL:$BL,"&lt;="&amp;'Statistic Reports'!$M84)</f>
        <v>0</v>
      </c>
      <c r="D84" s="4">
        <f>++COUNTIFS('Data Source'!$F:$F,'Statistic Reports'!D$73,'Data Source'!$BL:$BL,"&gt;="&amp;'Statistic Reports'!$L84,'Data Source'!$BL:$BL,"&lt;="&amp;'Statistic Reports'!$M84)</f>
        <v>0</v>
      </c>
      <c r="E84" s="27">
        <f t="shared" si="2"/>
        <v>0</v>
      </c>
      <c r="L84">
        <f t="shared" si="3"/>
        <v>45</v>
      </c>
      <c r="M84">
        <f t="shared" si="4"/>
        <v>49</v>
      </c>
    </row>
    <row r="85" spans="2:13" ht="20.25" customHeight="1" x14ac:dyDescent="0.25">
      <c r="B85" s="9" t="s">
        <v>40</v>
      </c>
      <c r="C85" s="4">
        <f>++COUNTIFS('Data Source'!$F:$F,'Statistic Reports'!C$73,'Data Source'!$BL:$BL,"&gt;="&amp;'Statistic Reports'!$L85,'Data Source'!$BL:$BL,"&lt;="&amp;'Statistic Reports'!$M85)</f>
        <v>0</v>
      </c>
      <c r="D85" s="4">
        <f>++COUNTIFS('Data Source'!$F:$F,'Statistic Reports'!D$73,'Data Source'!$BL:$BL,"&gt;="&amp;'Statistic Reports'!$L85,'Data Source'!$BL:$BL,"&lt;="&amp;'Statistic Reports'!$M85)</f>
        <v>0</v>
      </c>
      <c r="E85" s="27">
        <f t="shared" si="2"/>
        <v>0</v>
      </c>
      <c r="L85">
        <f t="shared" si="3"/>
        <v>50</v>
      </c>
      <c r="M85">
        <f t="shared" si="4"/>
        <v>54</v>
      </c>
    </row>
    <row r="86" spans="2:13" ht="20.25" customHeight="1" x14ac:dyDescent="0.25">
      <c r="B86" s="9" t="s">
        <v>41</v>
      </c>
      <c r="C86" s="4">
        <f>++COUNTIFS('Data Source'!$F:$F,'Statistic Reports'!C$73,'Data Source'!$BL:$BL,"&gt;="&amp;'Statistic Reports'!$L86,'Data Source'!$BL:$BL,"&lt;="&amp;'Statistic Reports'!$M86)</f>
        <v>0</v>
      </c>
      <c r="D86" s="4">
        <f>++COUNTIFS('Data Source'!$F:$F,'Statistic Reports'!D$73,'Data Source'!$BL:$BL,"&gt;="&amp;'Statistic Reports'!$L86,'Data Source'!$BL:$BL,"&lt;="&amp;'Statistic Reports'!$M86)</f>
        <v>0</v>
      </c>
      <c r="E86" s="27">
        <f t="shared" si="2"/>
        <v>0</v>
      </c>
      <c r="L86">
        <f t="shared" si="3"/>
        <v>55</v>
      </c>
      <c r="M86">
        <f t="shared" si="4"/>
        <v>59</v>
      </c>
    </row>
    <row r="87" spans="2:13" ht="20.25" customHeight="1" x14ac:dyDescent="0.25">
      <c r="B87" s="9" t="s">
        <v>42</v>
      </c>
      <c r="C87" s="4">
        <f>++COUNTIFS('Data Source'!$F:$F,'Statistic Reports'!C$73,'Data Source'!$BL:$BL,"&gt;="&amp;'Statistic Reports'!$L87,'Data Source'!$BL:$BL,"&lt;="&amp;'Statistic Reports'!$M87)</f>
        <v>0</v>
      </c>
      <c r="D87" s="4">
        <f>++COUNTIFS('Data Source'!$F:$F,'Statistic Reports'!D$73,'Data Source'!$BL:$BL,"&gt;="&amp;'Statistic Reports'!$L87,'Data Source'!$BL:$BL,"&lt;="&amp;'Statistic Reports'!$M87)</f>
        <v>0</v>
      </c>
      <c r="E87" s="27">
        <f t="shared" si="2"/>
        <v>0</v>
      </c>
      <c r="L87">
        <f t="shared" si="3"/>
        <v>60</v>
      </c>
      <c r="M87">
        <f t="shared" si="4"/>
        <v>64</v>
      </c>
    </row>
    <row r="88" spans="2:13" ht="20.25" customHeight="1" x14ac:dyDescent="0.25">
      <c r="B88" s="9" t="s">
        <v>43</v>
      </c>
      <c r="C88" s="4">
        <f>++COUNTIFS('Data Source'!$F:$F,'Statistic Reports'!C$73,'Data Source'!$BL:$BL,"&gt;="&amp;'Statistic Reports'!$L88,'Data Source'!$BL:$BL,"&lt;="&amp;'Statistic Reports'!$M88)</f>
        <v>0</v>
      </c>
      <c r="D88" s="4">
        <f>++COUNTIFS('Data Source'!$F:$F,'Statistic Reports'!D$73,'Data Source'!$BL:$BL,"&gt;="&amp;'Statistic Reports'!$L88,'Data Source'!$BL:$BL,"&lt;="&amp;'Statistic Reports'!$M88)</f>
        <v>0</v>
      </c>
      <c r="E88" s="27">
        <f t="shared" si="2"/>
        <v>0</v>
      </c>
      <c r="L88">
        <f t="shared" si="3"/>
        <v>65</v>
      </c>
      <c r="M88">
        <f t="shared" si="4"/>
        <v>69</v>
      </c>
    </row>
    <row r="89" spans="2:13" ht="20.25" customHeight="1" x14ac:dyDescent="0.25">
      <c r="B89" s="9" t="s">
        <v>44</v>
      </c>
      <c r="C89" s="4">
        <f>++COUNTIFS('Data Source'!$F:$F,'Statistic Reports'!C$73,'Data Source'!$BL:$BL,"&gt;="&amp;'Statistic Reports'!$L89,'Data Source'!$BL:$BL,"&lt;="&amp;'Statistic Reports'!$M89)</f>
        <v>0</v>
      </c>
      <c r="D89" s="4">
        <f>++COUNTIFS('Data Source'!$F:$F,'Statistic Reports'!D$73,'Data Source'!$BL:$BL,"&gt;="&amp;'Statistic Reports'!$L89,'Data Source'!$BL:$BL,"&lt;="&amp;'Statistic Reports'!$M89)</f>
        <v>0</v>
      </c>
      <c r="E89" s="27">
        <f t="shared" si="2"/>
        <v>0</v>
      </c>
      <c r="L89">
        <f t="shared" si="3"/>
        <v>70</v>
      </c>
      <c r="M89">
        <f t="shared" si="4"/>
        <v>74</v>
      </c>
    </row>
    <row r="90" spans="2:13" ht="20.25" customHeight="1" x14ac:dyDescent="0.25">
      <c r="B90" s="9" t="s">
        <v>45</v>
      </c>
      <c r="C90" s="4">
        <f>++COUNTIFS('Data Source'!$F:$F,'Statistic Reports'!C$73,'Data Source'!$BL:$BL,"&gt;="&amp;'Statistic Reports'!$L90,'Data Source'!$BL:$BL,"&lt;="&amp;'Statistic Reports'!$M90)</f>
        <v>0</v>
      </c>
      <c r="D90" s="4">
        <f>++COUNTIFS('Data Source'!$F:$F,'Statistic Reports'!D$73,'Data Source'!$BL:$BL,"&gt;="&amp;'Statistic Reports'!$L90,'Data Source'!$BL:$BL,"&lt;="&amp;'Statistic Reports'!$M90)</f>
        <v>0</v>
      </c>
      <c r="E90" s="27">
        <f t="shared" si="2"/>
        <v>0</v>
      </c>
      <c r="L90">
        <f t="shared" si="3"/>
        <v>75</v>
      </c>
      <c r="M90">
        <f t="shared" si="4"/>
        <v>79</v>
      </c>
    </row>
    <row r="91" spans="2:13" ht="20.25" customHeight="1" x14ac:dyDescent="0.25">
      <c r="B91" s="9" t="s">
        <v>46</v>
      </c>
      <c r="C91" s="4">
        <f>++COUNTIFS('Data Source'!$F:$F,'Statistic Reports'!C$73,'Data Source'!$BL:$BL,"&gt;="&amp;'Statistic Reports'!$L91,'Data Source'!$BL:$BL,"&lt;="&amp;'Statistic Reports'!$M91)</f>
        <v>0</v>
      </c>
      <c r="D91" s="4">
        <f>++COUNTIFS('Data Source'!$F:$F,'Statistic Reports'!D$73,'Data Source'!$BL:$BL,"&gt;="&amp;'Statistic Reports'!$L91,'Data Source'!$BL:$BL,"&lt;="&amp;'Statistic Reports'!$M91)</f>
        <v>0</v>
      </c>
      <c r="E91" s="27">
        <f t="shared" si="2"/>
        <v>0</v>
      </c>
      <c r="L91">
        <f t="shared" si="3"/>
        <v>80</v>
      </c>
      <c r="M91">
        <v>89</v>
      </c>
    </row>
    <row r="92" spans="2:13" ht="20.25" customHeight="1" x14ac:dyDescent="0.25">
      <c r="B92" s="9" t="s">
        <v>47</v>
      </c>
      <c r="C92" s="4">
        <f>++COUNTIFS('Data Source'!$F:$F,'Statistic Reports'!C$73,'Data Source'!$BL:$BL,"&gt;="&amp;'Statistic Reports'!$L92,'Data Source'!$BL:$BL,"&lt;="&amp;'Statistic Reports'!$M92)</f>
        <v>0</v>
      </c>
      <c r="D92" s="4">
        <f>++COUNTIFS('Data Source'!$F:$F,'Statistic Reports'!D$73,'Data Source'!$BL:$BL,"&gt;="&amp;'Statistic Reports'!$L92,'Data Source'!$BL:$BL,"&lt;="&amp;'Statistic Reports'!$M92)</f>
        <v>0</v>
      </c>
      <c r="E92" s="27">
        <f t="shared" si="2"/>
        <v>0</v>
      </c>
      <c r="L92">
        <f t="shared" si="3"/>
        <v>90</v>
      </c>
      <c r="M92">
        <f>+L92+9</f>
        <v>99</v>
      </c>
    </row>
    <row r="93" spans="2:13" ht="20.25" customHeight="1" x14ac:dyDescent="0.25">
      <c r="B93" s="9" t="s">
        <v>48</v>
      </c>
      <c r="C93" s="4">
        <f>++COUNTIFS('Data Source'!$F:$F,'Statistic Reports'!C$73,'Data Source'!$BL:$BL,"&gt;="&amp;'Statistic Reports'!$L93,'Data Source'!$BL:$BL,"&lt;="&amp;'Statistic Reports'!$M93)</f>
        <v>0</v>
      </c>
      <c r="D93" s="4">
        <f>++COUNTIFS('Data Source'!$F:$F,'Statistic Reports'!D$73,'Data Source'!$BL:$BL,"&gt;="&amp;'Statistic Reports'!$L93,'Data Source'!$BL:$BL,"&lt;="&amp;'Statistic Reports'!$M93)</f>
        <v>0</v>
      </c>
      <c r="E93" s="27">
        <f t="shared" si="2"/>
        <v>0</v>
      </c>
      <c r="L93">
        <f t="shared" si="3"/>
        <v>100</v>
      </c>
      <c r="M93" t="s">
        <v>49</v>
      </c>
    </row>
    <row r="94" spans="2:13" ht="8.25" customHeight="1" x14ac:dyDescent="0.25">
      <c r="B94" s="10"/>
      <c r="C94" s="7"/>
      <c r="D94" s="8"/>
      <c r="E94" s="16" t="e">
        <f>+#REF!</f>
        <v>#REF!</v>
      </c>
    </row>
    <row r="95" spans="2:13" s="22" customFormat="1" ht="21.75" customHeight="1" thickBot="1" x14ac:dyDescent="0.35">
      <c r="B95" s="19" t="s">
        <v>2</v>
      </c>
      <c r="C95" s="20">
        <f>++SUM(C74:C93)</f>
        <v>0</v>
      </c>
      <c r="D95" s="20">
        <f>++SUM(D74:D93)</f>
        <v>0</v>
      </c>
      <c r="E95" s="21">
        <f>++SUM(E74:E93)</f>
        <v>0</v>
      </c>
    </row>
    <row r="120" spans="3:5" x14ac:dyDescent="0.25">
      <c r="C120" s="6"/>
      <c r="D120" s="6"/>
      <c r="E120" s="6"/>
    </row>
    <row r="121" spans="3:5" x14ac:dyDescent="0.25">
      <c r="C121" s="6"/>
      <c r="D121" s="6"/>
      <c r="E121" s="6"/>
    </row>
    <row r="122" spans="3:5" x14ac:dyDescent="0.25">
      <c r="C122" s="6"/>
      <c r="D122" s="6"/>
      <c r="E122" s="6"/>
    </row>
    <row r="123" spans="3:5" x14ac:dyDescent="0.25">
      <c r="C123" s="6"/>
      <c r="D123" s="6"/>
      <c r="E123" s="6"/>
    </row>
    <row r="124" spans="3:5" x14ac:dyDescent="0.25">
      <c r="C124" s="6"/>
      <c r="D124" s="6"/>
      <c r="E124" s="6"/>
    </row>
    <row r="125" spans="3:5" x14ac:dyDescent="0.25">
      <c r="C125" s="6"/>
      <c r="D125" s="6"/>
      <c r="E125" s="6"/>
    </row>
    <row r="126" spans="3:5" x14ac:dyDescent="0.25">
      <c r="C126" s="6"/>
      <c r="D126" s="6"/>
      <c r="E126" s="6"/>
    </row>
    <row r="127" spans="3:5" x14ac:dyDescent="0.25">
      <c r="C127" s="6"/>
      <c r="D127" s="6"/>
      <c r="E127" s="6"/>
    </row>
    <row r="128" spans="3:5" x14ac:dyDescent="0.25">
      <c r="C128" s="6"/>
      <c r="D128" s="6"/>
      <c r="E128" s="6"/>
    </row>
    <row r="129" spans="3:5" x14ac:dyDescent="0.25">
      <c r="C129" s="6"/>
      <c r="D129" s="6"/>
      <c r="E129" s="6"/>
    </row>
    <row r="130" spans="3:5" ht="9" customHeight="1" x14ac:dyDescent="0.25">
      <c r="C130" s="6"/>
      <c r="D130" s="6"/>
      <c r="E130" s="6"/>
    </row>
    <row r="131" spans="3:5" x14ac:dyDescent="0.25">
      <c r="C131" s="6"/>
      <c r="D131" s="6"/>
      <c r="E131" s="6"/>
    </row>
    <row r="132" spans="3:5" x14ac:dyDescent="0.25">
      <c r="C132" s="6"/>
      <c r="D132" s="6"/>
      <c r="E132" s="6"/>
    </row>
    <row r="133" spans="3:5" x14ac:dyDescent="0.25">
      <c r="C133" s="6"/>
      <c r="D133" s="6"/>
      <c r="E133" s="6"/>
    </row>
    <row r="134" spans="3:5" x14ac:dyDescent="0.25">
      <c r="C134" s="6"/>
      <c r="D134" s="6"/>
      <c r="E134" s="6"/>
    </row>
    <row r="135" spans="3:5" x14ac:dyDescent="0.25">
      <c r="C135" s="6"/>
      <c r="D135" s="6"/>
      <c r="E135" s="6"/>
    </row>
    <row r="136" spans="3:5" x14ac:dyDescent="0.25">
      <c r="C136" s="6"/>
      <c r="D136" s="6"/>
      <c r="E136" s="6"/>
    </row>
    <row r="137" spans="3:5" x14ac:dyDescent="0.25">
      <c r="C137" s="6"/>
      <c r="D137" s="6"/>
      <c r="E137" s="6"/>
    </row>
    <row r="138" spans="3:5" x14ac:dyDescent="0.25">
      <c r="C138" s="6"/>
      <c r="D138" s="6"/>
      <c r="E138" s="6"/>
    </row>
    <row r="139" spans="3:5" x14ac:dyDescent="0.25">
      <c r="C139" s="6"/>
      <c r="D139" s="6"/>
      <c r="E139" s="6"/>
    </row>
    <row r="140" spans="3:5" x14ac:dyDescent="0.25">
      <c r="C140" s="6"/>
      <c r="D140" s="6"/>
      <c r="E140" s="6"/>
    </row>
    <row r="141" spans="3:5" x14ac:dyDescent="0.25">
      <c r="C141" s="6"/>
      <c r="D141" s="6"/>
      <c r="E141" s="6"/>
    </row>
    <row r="142" spans="3:5" x14ac:dyDescent="0.25">
      <c r="C142" s="6"/>
      <c r="D142" s="6"/>
      <c r="E142" s="6"/>
    </row>
    <row r="143" spans="3:5" x14ac:dyDescent="0.25">
      <c r="C143" s="6"/>
      <c r="D143" s="6"/>
      <c r="E143" s="6"/>
    </row>
    <row r="144" spans="3:5" x14ac:dyDescent="0.25">
      <c r="C144" s="6"/>
      <c r="D144" s="6"/>
      <c r="E144" s="6"/>
    </row>
    <row r="145" spans="3:5" x14ac:dyDescent="0.25">
      <c r="C145" s="6"/>
      <c r="D145" s="6"/>
      <c r="E145" s="6"/>
    </row>
    <row r="146" spans="3:5" x14ac:dyDescent="0.25">
      <c r="C146" s="6"/>
      <c r="D146" s="6"/>
      <c r="E146" s="6"/>
    </row>
    <row r="147" spans="3:5" x14ac:dyDescent="0.25">
      <c r="C147" s="6"/>
      <c r="D147" s="6"/>
      <c r="E147" s="6"/>
    </row>
    <row r="148" spans="3:5" x14ac:dyDescent="0.25">
      <c r="C148" s="6"/>
      <c r="D148" s="6"/>
      <c r="E148" s="6"/>
    </row>
    <row r="149" spans="3:5" x14ac:dyDescent="0.25">
      <c r="C149" s="6"/>
      <c r="D149" s="6"/>
      <c r="E149" s="6"/>
    </row>
    <row r="150" spans="3:5" x14ac:dyDescent="0.25">
      <c r="C150" s="6"/>
      <c r="D150" s="6"/>
      <c r="E150" s="6"/>
    </row>
    <row r="151" spans="3:5" x14ac:dyDescent="0.25">
      <c r="C151" s="6"/>
      <c r="D151" s="6"/>
      <c r="E151" s="6"/>
    </row>
    <row r="152" spans="3:5" x14ac:dyDescent="0.25">
      <c r="C152" s="6"/>
      <c r="D152" s="6"/>
      <c r="E152" s="6"/>
    </row>
    <row r="153" spans="3:5" x14ac:dyDescent="0.25">
      <c r="C153" s="6"/>
      <c r="D153" s="6"/>
      <c r="E153" s="6"/>
    </row>
    <row r="154" spans="3:5" x14ac:dyDescent="0.25">
      <c r="C154" s="6"/>
      <c r="D154" s="6"/>
      <c r="E154" s="6"/>
    </row>
    <row r="155" spans="3:5" x14ac:dyDescent="0.25">
      <c r="C155" s="6"/>
      <c r="D155" s="6"/>
      <c r="E155" s="6"/>
    </row>
    <row r="156" spans="3:5" x14ac:dyDescent="0.25">
      <c r="C156" s="6"/>
      <c r="D156" s="6"/>
      <c r="E156" s="6"/>
    </row>
    <row r="157" spans="3:5" x14ac:dyDescent="0.25">
      <c r="C157" s="6"/>
      <c r="D157" s="6"/>
      <c r="E157" s="6"/>
    </row>
    <row r="158" spans="3:5" x14ac:dyDescent="0.25">
      <c r="C158" s="6"/>
      <c r="D158" s="6"/>
      <c r="E158" s="6"/>
    </row>
    <row r="159" spans="3:5" x14ac:dyDescent="0.25">
      <c r="C159" s="6"/>
      <c r="D159" s="6"/>
      <c r="E159" s="6"/>
    </row>
    <row r="160" spans="3:5" x14ac:dyDescent="0.25">
      <c r="C160" s="6"/>
      <c r="D160" s="6"/>
      <c r="E160" s="6"/>
    </row>
    <row r="161" spans="3:5" x14ac:dyDescent="0.25">
      <c r="C161" s="6"/>
      <c r="D161" s="6"/>
      <c r="E161" s="6"/>
    </row>
    <row r="162" spans="3:5" x14ac:dyDescent="0.25">
      <c r="C162" s="6"/>
      <c r="D162" s="6"/>
      <c r="E162" s="6"/>
    </row>
    <row r="163" spans="3:5" x14ac:dyDescent="0.25">
      <c r="C163" s="6"/>
      <c r="D163" s="6"/>
      <c r="E163" s="6"/>
    </row>
    <row r="164" spans="3:5" x14ac:dyDescent="0.25">
      <c r="C164" s="6"/>
      <c r="D164" s="6"/>
      <c r="E164" s="6"/>
    </row>
    <row r="165" spans="3:5" x14ac:dyDescent="0.25">
      <c r="C165" s="6"/>
      <c r="D165" s="6"/>
      <c r="E165" s="6"/>
    </row>
    <row r="166" spans="3:5" x14ac:dyDescent="0.25">
      <c r="C166" s="6"/>
      <c r="D166" s="6"/>
      <c r="E166" s="6"/>
    </row>
    <row r="167" spans="3:5" x14ac:dyDescent="0.25">
      <c r="C167" s="6"/>
      <c r="D167" s="6"/>
      <c r="E167" s="6"/>
    </row>
    <row r="168" spans="3:5" x14ac:dyDescent="0.25">
      <c r="C168" s="6"/>
      <c r="D168" s="6"/>
      <c r="E168" s="6"/>
    </row>
    <row r="169" spans="3:5" x14ac:dyDescent="0.25">
      <c r="C169" s="6"/>
      <c r="D169" s="6"/>
      <c r="E169" s="6"/>
    </row>
    <row r="170" spans="3:5" x14ac:dyDescent="0.25">
      <c r="C170" s="6"/>
      <c r="D170" s="6"/>
      <c r="E170" s="6"/>
    </row>
  </sheetData>
  <mergeCells count="12">
    <mergeCell ref="B1:E1"/>
    <mergeCell ref="B2:E2"/>
    <mergeCell ref="B3:E3"/>
    <mergeCell ref="B4:E4"/>
    <mergeCell ref="B5:E5"/>
    <mergeCell ref="L73:M73"/>
    <mergeCell ref="L13:M13"/>
    <mergeCell ref="L14:M14"/>
    <mergeCell ref="B6:E6"/>
    <mergeCell ref="B7:E7"/>
    <mergeCell ref="B9:E10"/>
    <mergeCell ref="B50:B51"/>
  </mergeCells>
  <printOptions horizontalCentered="1"/>
  <pageMargins left="0.39370078740157483" right="0.39370078740157483" top="0.31496062992125984" bottom="1.5" header="0.19685039370078741" footer="0.31496062992125984"/>
  <pageSetup paperSize="5" scale="72" orientation="portrait" horizontalDpi="1200" verticalDpi="1200" r:id="rId1"/>
  <rowBreaks count="1" manualBreakCount="1">
    <brk id="6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13"/>
  <sheetViews>
    <sheetView showGridLines="0" view="pageBreakPreview" topLeftCell="A54" zoomScale="85" zoomScaleNormal="100" zoomScaleSheetLayoutView="85" workbookViewId="0">
      <selection activeCell="P27" sqref="P27"/>
    </sheetView>
  </sheetViews>
  <sheetFormatPr defaultRowHeight="15" x14ac:dyDescent="0.25"/>
  <cols>
    <col min="1" max="1" width="2.140625" customWidth="1"/>
    <col min="2" max="2" width="6.28515625" customWidth="1"/>
    <col min="3" max="3" width="29.140625" customWidth="1"/>
    <col min="4" max="4" width="26.42578125" customWidth="1"/>
    <col min="5" max="5" width="27.5703125" customWidth="1"/>
    <col min="6" max="8" width="10.7109375" customWidth="1"/>
    <col min="9" max="9" width="1.5703125" customWidth="1"/>
    <col min="10" max="10" width="2.7109375" customWidth="1"/>
  </cols>
  <sheetData>
    <row r="1" spans="2:16" x14ac:dyDescent="0.25">
      <c r="C1" s="35"/>
      <c r="D1" s="35"/>
      <c r="E1" s="35"/>
      <c r="F1" s="35"/>
      <c r="G1" s="35"/>
      <c r="H1" s="35"/>
    </row>
    <row r="2" spans="2:16" x14ac:dyDescent="0.25">
      <c r="B2" s="39" t="s">
        <v>22</v>
      </c>
      <c r="C2" s="39"/>
      <c r="D2" s="39"/>
      <c r="E2" s="39"/>
      <c r="F2" s="39"/>
      <c r="G2" s="39"/>
      <c r="H2" s="39"/>
    </row>
    <row r="3" spans="2:16" x14ac:dyDescent="0.25">
      <c r="C3" s="39"/>
      <c r="D3" s="39"/>
      <c r="E3" s="39"/>
      <c r="F3" s="39"/>
      <c r="G3" s="39"/>
      <c r="H3" s="39"/>
    </row>
    <row r="4" spans="2:16" x14ac:dyDescent="0.25">
      <c r="B4" s="39" t="s">
        <v>23</v>
      </c>
      <c r="C4" s="39"/>
      <c r="D4" s="39"/>
      <c r="E4" s="39"/>
      <c r="F4" s="39"/>
      <c r="G4" s="39"/>
      <c r="H4" s="39"/>
    </row>
    <row r="5" spans="2:16" x14ac:dyDescent="0.25">
      <c r="C5" s="35"/>
      <c r="D5" s="35"/>
      <c r="E5" s="35"/>
      <c r="F5" s="35"/>
      <c r="G5" s="35"/>
      <c r="H5" s="35"/>
    </row>
    <row r="6" spans="2:16" ht="15.75" thickBot="1" x14ac:dyDescent="0.3">
      <c r="B6" s="36"/>
      <c r="C6" s="36"/>
      <c r="D6" s="36"/>
      <c r="E6" s="36"/>
      <c r="F6" s="36"/>
      <c r="G6" s="36"/>
      <c r="H6" s="36"/>
    </row>
    <row r="7" spans="2:16" ht="8.25" customHeight="1" thickTop="1" x14ac:dyDescent="0.25"/>
    <row r="8" spans="2:16" ht="15" customHeight="1" x14ac:dyDescent="0.25">
      <c r="B8" s="37" t="str">
        <f>'Data Source'!BI2 &amp; " : " &amp; " DEATH REGISTRATION BY MUNICIPALITY REPORTS"</f>
        <v xml:space="preserve"> :  DEATH REGISTRATION BY MUNICIPALITY REPORTS</v>
      </c>
      <c r="C8" s="37"/>
      <c r="D8" s="37"/>
      <c r="E8" s="37"/>
      <c r="F8" s="37"/>
      <c r="G8" s="37"/>
      <c r="H8" s="37"/>
    </row>
    <row r="9" spans="2:16" ht="15" customHeight="1" x14ac:dyDescent="0.25">
      <c r="B9" s="37"/>
      <c r="C9" s="37"/>
      <c r="D9" s="37"/>
      <c r="E9" s="37"/>
      <c r="F9" s="37"/>
      <c r="G9" s="37"/>
      <c r="H9" s="37"/>
    </row>
    <row r="10" spans="2:16" ht="15.75" thickBot="1" x14ac:dyDescent="0.3"/>
    <row r="11" spans="2:16" s="26" customFormat="1" ht="22.5" customHeight="1" thickBot="1" x14ac:dyDescent="0.3">
      <c r="B11" s="40" t="s">
        <v>52</v>
      </c>
      <c r="C11" s="41"/>
      <c r="D11" s="41"/>
      <c r="E11" s="41"/>
      <c r="F11" s="41"/>
      <c r="G11" s="41"/>
      <c r="H11" s="42"/>
    </row>
    <row r="12" spans="2:16" ht="15.75" thickBot="1" x14ac:dyDescent="0.3">
      <c r="O12" s="35"/>
      <c r="P12" s="35"/>
    </row>
    <row r="13" spans="2:16" ht="34.5" customHeight="1" thickBot="1" x14ac:dyDescent="0.3">
      <c r="B13" s="28" t="s">
        <v>27</v>
      </c>
      <c r="C13" s="28" t="s">
        <v>24</v>
      </c>
      <c r="D13" s="28" t="s">
        <v>25</v>
      </c>
      <c r="E13" s="28" t="s">
        <v>26</v>
      </c>
      <c r="F13" s="29" t="s">
        <v>17</v>
      </c>
      <c r="G13" s="28" t="s">
        <v>19</v>
      </c>
      <c r="H13" s="28" t="s">
        <v>0</v>
      </c>
      <c r="M13" s="34"/>
      <c r="N13" s="34"/>
    </row>
  </sheetData>
  <mergeCells count="10">
    <mergeCell ref="M13:N13"/>
    <mergeCell ref="B11:H11"/>
    <mergeCell ref="B8:H9"/>
    <mergeCell ref="O12:P12"/>
    <mergeCell ref="B6:H6"/>
    <mergeCell ref="C1:H1"/>
    <mergeCell ref="C3:H3"/>
    <mergeCell ref="C5:H5"/>
    <mergeCell ref="B4:H4"/>
    <mergeCell ref="B2:H2"/>
  </mergeCells>
  <printOptions horizontalCentered="1"/>
  <pageMargins left="0.39370078740157483" right="0.39370078740157483" top="0.31496062992125984" bottom="0.39370078740157483" header="0.19685039370078741" footer="0.31496062992125984"/>
  <pageSetup paperSize="5" scale="75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K6"/>
  <sheetViews>
    <sheetView workbookViewId="0">
      <selection activeCell="C37" sqref="C37"/>
    </sheetView>
  </sheetViews>
  <sheetFormatPr defaultRowHeight="15" x14ac:dyDescent="0.25"/>
  <cols>
    <col min="1" max="1" width="6.42578125" customWidth="1"/>
    <col min="2" max="2" width="13" customWidth="1"/>
    <col min="3" max="5" width="26.42578125" customWidth="1"/>
    <col min="6" max="6" width="13.28515625" bestFit="1" customWidth="1"/>
    <col min="7" max="7" width="26" customWidth="1"/>
    <col min="8" max="8" width="27.140625" customWidth="1"/>
    <col min="9" max="9" width="25.28515625" customWidth="1"/>
    <col min="10" max="10" width="35.85546875" customWidth="1"/>
    <col min="11" max="11" width="23.28515625" customWidth="1"/>
  </cols>
  <sheetData>
    <row r="4" spans="1:11" ht="32.25" customHeight="1" x14ac:dyDescent="0.25">
      <c r="A4" s="39" t="s">
        <v>63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s="30" customFormat="1" ht="26.25" customHeight="1" x14ac:dyDescent="0.25">
      <c r="A6" s="31" t="s">
        <v>27</v>
      </c>
      <c r="B6" s="31" t="s">
        <v>58</v>
      </c>
      <c r="C6" s="31" t="s">
        <v>59</v>
      </c>
      <c r="D6" s="31" t="s">
        <v>60</v>
      </c>
      <c r="E6" s="31" t="s">
        <v>61</v>
      </c>
      <c r="F6" s="31" t="s">
        <v>62</v>
      </c>
      <c r="G6" s="31" t="s">
        <v>53</v>
      </c>
      <c r="H6" s="31" t="s">
        <v>55</v>
      </c>
      <c r="I6" s="31" t="s">
        <v>54</v>
      </c>
      <c r="J6" s="31" t="s">
        <v>56</v>
      </c>
      <c r="K6" s="31" t="s">
        <v>57</v>
      </c>
    </row>
  </sheetData>
  <mergeCells count="1">
    <mergeCell ref="A4:K4"/>
  </mergeCells>
  <pageMargins left="0.24" right="0.3" top="0.38" bottom="0.48" header="0.3" footer="0.3"/>
  <pageSetup paperSize="5" scale="70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8"/>
  <sheetViews>
    <sheetView topLeftCell="A4" workbookViewId="0">
      <selection activeCell="G13" sqref="G13"/>
    </sheetView>
  </sheetViews>
  <sheetFormatPr defaultRowHeight="15" x14ac:dyDescent="0.25"/>
  <cols>
    <col min="2" max="7" width="21.140625" customWidth="1"/>
  </cols>
  <sheetData>
    <row r="5" spans="2:7" x14ac:dyDescent="0.25">
      <c r="B5" s="35" t="s">
        <v>64</v>
      </c>
      <c r="C5" s="35"/>
      <c r="D5" s="35"/>
      <c r="E5" s="35"/>
      <c r="F5" s="35"/>
      <c r="G5" s="35"/>
    </row>
    <row r="8" spans="2:7" x14ac:dyDescent="0.25">
      <c r="B8" s="31" t="s">
        <v>27</v>
      </c>
      <c r="C8" s="31" t="s">
        <v>58</v>
      </c>
      <c r="D8" s="31" t="s">
        <v>59</v>
      </c>
      <c r="E8" s="31" t="s">
        <v>60</v>
      </c>
      <c r="F8" s="31" t="s">
        <v>61</v>
      </c>
      <c r="G8" s="31" t="s">
        <v>62</v>
      </c>
    </row>
  </sheetData>
  <mergeCells count="1"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Data Source</vt:lpstr>
      <vt:lpstr>Statistic Reports</vt:lpstr>
      <vt:lpstr>ByMunicipality</vt:lpstr>
      <vt:lpstr>CauseOfDeath</vt:lpstr>
      <vt:lpstr>DeadonArrival</vt:lpstr>
      <vt:lpstr>ByMunicipality!Print_Area</vt:lpstr>
      <vt:lpstr>'Statistic Reports'!Print_Area</vt:lpstr>
      <vt:lpstr>ByMunicipality!Print_Titles</vt:lpstr>
      <vt:lpstr>'Statistic Reports'!Print_Titles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Administrator1010</dc:creator>
  <cp:lastModifiedBy>Administrator1010</cp:lastModifiedBy>
  <cp:lastPrinted>2026-01-19T04:29:16Z</cp:lastPrinted>
  <dcterms:created xsi:type="dcterms:W3CDTF">2024-12-17T02:26:53Z</dcterms:created>
  <dcterms:modified xsi:type="dcterms:W3CDTF">2026-02-18T03:40:57Z</dcterms:modified>
</cp:coreProperties>
</file>